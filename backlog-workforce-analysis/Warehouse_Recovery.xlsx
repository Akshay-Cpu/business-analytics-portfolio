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5801d6a10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29b77357a6945a2"/>
    <x:sheet xmlns:r="http://schemas.openxmlformats.org/officeDocument/2006/relationships" name="Daily Flow" sheetId="2" r:id="Rf612a27e26054f8f"/>
    <x:sheet xmlns:r="http://schemas.openxmlformats.org/officeDocument/2006/relationships" name="Labour" sheetId="3" r:id="Rbef5152ff52b452d"/>
    <x:sheet xmlns:r="http://schemas.openxmlformats.org/officeDocument/2006/relationships" name="Raw Delivery" sheetId="4" r:id="Rc19edf15f7b34727"/>
    <x:sheet xmlns:r="http://schemas.openxmlformats.org/officeDocument/2006/relationships" name="Raw Labour" sheetId="5" r:id="Re1a3460d940f4b3e"/>
    <x:sheet xmlns:r="http://schemas.openxmlformats.org/officeDocument/2006/relationships" name="Dim Date" sheetId="6" r:id="R618d79cf698c4dd7"/>
    <x:sheet xmlns:r="http://schemas.openxmlformats.org/officeDocument/2006/relationships" name="Dim Department" sheetId="7" r:id="R5299191f749c42e7"/>
    <x:sheet xmlns:r="http://schemas.openxmlformats.org/officeDocument/2006/relationships" name="Guide" sheetId="8" r:id="R0f848ef32a8f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 mmm yyyy"/>
    <x:numFmt numFmtId="201" formatCode="0.00"/>
    <x:numFmt numFmtId="202" formatCode="0.0%"/>
    <x:numFmt numFmtId="203" formatCode="0.0"/>
    <x:numFmt numFmtId="204" formatCode="#,##0"/>
    <x:numFmt numFmtId="205" formatCode="0%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name val="Arial"/>
    </x:font>
    <x:font>
      <x:sz val="10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2860A4"/>
      <x:name val="Arial"/>
    </x:font>
    <x:font>
      <x:b/>
      <x:sz val="16"/>
      <x:color rgb="FF243B53"/>
      <x:name val="Arial"/>
    </x:font>
    <x:font>
      <x:sz val="10"/>
      <x:color rgb="FF8B5418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202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3" fillId="2" borderId="0" xfId="0" applyNumberFormat="1" applyFont="1" applyFill="1" applyBorder="1"/>
    <x:xf numFmtId="0" fontId="5" fillId="2" borderId="0" xfId="0" applyNumberFormat="1" applyFont="1" applyFill="1" applyBorder="1"/>
    <x:xf numFmtId="204" fontId="3" fillId="0" borderId="0" xfId="0" applyNumberFormat="1" applyFont="1" applyFill="1" applyBorder="1"/>
    <x:xf numFmtId="203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5" fontId="6" fillId="0" borderId="0" xfId="0" applyNumberFormat="1" applyFont="1" applyFill="1" applyBorder="1"/>
    <x:xf numFmtId="205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02bdf28284714" /><Relationship Type="http://schemas.openxmlformats.org/officeDocument/2006/relationships/theme" Target="/xl/theme/theme1.xml" Id="R9a00f0a6ecab4ef4" /><Relationship Type="http://schemas.openxmlformats.org/officeDocument/2006/relationships/sharedStrings" Target="/xl/sharedStrings.xml" Id="R853aae2b34654932" /><Relationship Type="http://schemas.openxmlformats.org/officeDocument/2006/relationships/worksheet" Target="/xl/worksheets/sheet1.xml" Id="R729b77357a6945a2" /><Relationship Type="http://schemas.openxmlformats.org/officeDocument/2006/relationships/worksheet" Target="/xl/worksheets/sheet2.xml" Id="Rf612a27e26054f8f" /><Relationship Type="http://schemas.openxmlformats.org/officeDocument/2006/relationships/worksheet" Target="/xl/worksheets/sheet3.xml" Id="Rbef5152ff52b452d" /><Relationship Type="http://schemas.openxmlformats.org/officeDocument/2006/relationships/worksheet" Target="/xl/worksheets/sheet4.xml" Id="Rc19edf15f7b34727" /><Relationship Type="http://schemas.openxmlformats.org/officeDocument/2006/relationships/worksheet" Target="/xl/worksheets/sheet5.xml" Id="Re1a3460d940f4b3e" /><Relationship Type="http://schemas.openxmlformats.org/officeDocument/2006/relationships/worksheet" Target="/xl/worksheets/sheet6.xml" Id="R618d79cf698c4dd7" /><Relationship Type="http://schemas.openxmlformats.org/officeDocument/2006/relationships/worksheet" Target="/xl/worksheets/sheet7.xml" Id="R5299191f749c42e7" /><Relationship Type="http://schemas.openxmlformats.org/officeDocument/2006/relationships/worksheet" Target="/xl/worksheets/sheet8.xml" Id="R0f848ef32a8f40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4e88cdf57f49ea" /><Relationship Type="http://schemas.openxmlformats.org/officeDocument/2006/relationships/chart" Target="/xl/drawings/charts/chart2.xml" Id="R41d92eaaeb3440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Backlog remains after reassignment (orders)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Closing backlog</c:v>
          </c:tx>
          <c:spPr>
            <a:solidFill xmlns:a="http://schemas.openxmlformats.org/drawingml/2006/main">
              <a:srgbClr val="CB7B22"/>
            </a:solidFill>
            <a:ln xmlns:a="http://schemas.openxmlformats.org/drawingml/2006/main" w="19050">
              <a:solidFill>
                <a:srgbClr val="CB7B22"/>
              </a:solidFill>
              <a:prstDash val="solid"/>
            </a:ln>
          </c:spPr>
          <c:marker>
            <c:symbol val="none"/>
          </c:marker>
          <c:cat>
            <c:strRef>
              <c:f>'Dashboard'!$Q$2:$Q$43</c:f>
              <c:strCache>
                <c:ptCount val="0"/>
              </c:strCache>
            </c:strRef>
          </c:cat>
          <c:val>
            <c:numRef>
              <c:f>'Dashboard'!$R$2:$R$43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Incoming vs completed (orders/day)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Incoming</c:v>
          </c:tx>
          <c:spPr>
            <a:solidFill xmlns:a="http://schemas.openxmlformats.org/drawingml/2006/main">
              <a:srgbClr val="8C9BAA"/>
            </a:solidFill>
            <a:ln xmlns:a="http://schemas.openxmlformats.org/drawingml/2006/main" w="19050">
              <a:solidFill>
                <a:srgbClr val="8C9BAA"/>
              </a:solidFill>
              <a:prstDash val="solid"/>
            </a:ln>
          </c:spPr>
          <c:marker>
            <c:symbol val="none"/>
          </c:marker>
          <c:cat>
            <c:strRef>
              <c:f>'Dashboard'!$Q$2:$Q$43</c:f>
              <c:strCache>
                <c:ptCount val="0"/>
              </c:strCache>
            </c:strRef>
          </c:cat>
          <c:val>
            <c:numRef>
              <c:f>'Dashboard'!$S$2:$S$43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Completed</c:v>
          </c:tx>
          <c:spPr>
            <a:solidFill xmlns:a="http://schemas.openxmlformats.org/drawingml/2006/main">
              <a:srgbClr val="2C6EAA"/>
            </a:solidFill>
            <a:ln xmlns:a="http://schemas.openxmlformats.org/drawingml/2006/main" w="19050">
              <a:solidFill>
                <a:srgbClr val="2C6EAA"/>
              </a:solidFill>
              <a:prstDash val="solid"/>
            </a:ln>
          </c:spPr>
          <c:marker>
            <c:symbol val="none"/>
          </c:marker>
          <c:cat>
            <c:strRef>
              <c:f>'Dashboard'!$Q$2:$Q$43</c:f>
              <c:strCache>
                <c:ptCount val="0"/>
              </c:strCache>
            </c:strRef>
          </c:cat>
          <c:val>
            <c:numRef>
              <c:f>'Dashboard'!$T$2:$T$43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4e88cdf57f49ea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d92eaaeb3440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DailyFlowTable" displayName="DailyFlowTable" ref="A1:Q43" headerRowCount="1" totalsRowCount="0" totalsRowShown="0">
  <x:tableColumns count="17">
    <x:tableColumn id="1" name="DateKey"/>
    <x:tableColumn id="2" name="Date"/>
    <x:tableColumn id="3" name="Phase"/>
    <x:tableColumn id="4" name="Incoming orders"/>
    <x:tableColumn id="5" name="Rate orders/eff h"/>
    <x:tableColumn id="6" name="Native paid h"/>
    <x:tableColumn id="7" name="Temp paid h"/>
    <x:tableColumn id="8" name="Training h"/>
    <x:tableColumn id="9" name="Mentor h"/>
    <x:tableColumn id="10" name="Temp efficiency"/>
    <x:tableColumn id="11" name="Capacity orders"/>
    <x:tableColumn id="12" name="Opening backlog"/>
    <x:tableColumn id="13" name="Completed orders"/>
    <x:tableColumn id="14" name="Closing backlog"/>
    <x:tableColumn id="15" name="Work queue cleared %"/>
    <x:tableColumn id="16" name="Backlog days proxy"/>
    <x:tableColumn id="17" name="Orders/paid 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LabourTable" displayName="LabourTable" ref="A1:K127" headerRowCount="1" totalsRowCount="0" totalsRowShown="0">
  <x:tableColumns count="11">
    <x:tableColumn id="1" name="DateKey"/>
    <x:tableColumn id="2" name="DepartmentKey"/>
    <x:tableColumn id="3" name="Home paid h"/>
    <x:tableColumn id="4" name="Moved out h"/>
    <x:tableColumn id="5" name="Moved in h"/>
    <x:tableColumn id="6" name="Training h"/>
    <x:tableColumn id="7" name="Mentor h"/>
    <x:tableColumn id="8" name="Effective available h"/>
    <x:tableColumn id="9" name="Required effective h"/>
    <x:tableColumn id="10" name="Spare effective h"/>
    <x:tableColumn id="11" name="Load/capacity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RawDeliveryTable" displayName="RawDeliveryTable" ref="A1:E43" headerRowCount="1" totalsRowCount="0" totalsRowShown="0">
  <x:tableColumns count="5">
    <x:tableColumn id="1" name="DateKey"/>
    <x:tableColumn id="2" name="Date"/>
    <x:tableColumn id="3" name="Phase"/>
    <x:tableColumn id="4" name="IncomingOrders"/>
    <x:tableColumn id="5" name="OrdersPerEffectiveHou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awLabourTable" displayName="RawLabourTable" ref="A1:K127" headerRowCount="1" totalsRowCount="0" totalsRowShown="0">
  <x:tableColumns count="11">
    <x:tableColumn id="1" name="DateKey"/>
    <x:tableColumn id="2" name="Date"/>
    <x:tableColumn id="3" name="DepartmentLabel"/>
    <x:tableColumn id="4" name="HomeWorkers"/>
    <x:tableColumn id="5" name="ShiftHours"/>
    <x:tableColumn id="6" name="MovedOutHours"/>
    <x:tableColumn id="7" name="MovedInHours"/>
    <x:tableColumn id="8" name="TrainingHours"/>
    <x:tableColumn id="9" name="MentorHours"/>
    <x:tableColumn id="10" name="RequiredEffectiveHours"/>
    <x:tableColumn id="11" name="TempEfficienc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DimDateTable" displayName="DimDateTable" ref="A1:E43" headerRowCount="1" totalsRowCount="0" totalsRowShown="0">
  <x:tableColumns count="5">
    <x:tableColumn id="1" name="DateKey"/>
    <x:tableColumn id="2" name="Date"/>
    <x:tableColumn id="3" name="DayIndex"/>
    <x:tableColumn id="4" name="WeekIndex"/>
    <x:tableColumn id="5" name="Ph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DimDepartmentTable" displayName="DimDepartmentTable" ref="A1:C4" headerRowCount="1" totalsRowCount="0" totalsRowShown="0">
  <x:tableColumns count="3">
    <x:tableColumn id="1" name="DepartmentKey"/>
    <x:tableColumn id="2" name="Department"/>
    <x:tableColumn id="3" name="Un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uideTable" displayName="GuideTable" ref="A1:B21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9dc7c90f2143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2511af85a643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1788f4d3024e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f4721a7f8d40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7d5af871ae4f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9e70fb12034b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31dfc6bfbd4b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0fb5d0d7eb4d34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22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 t="str">
        <x:v>Day</x:v>
      </x:c>
      <x:c r="R1" s="5" t="str">
        <x:v>Closing backlog</x:v>
      </x:c>
      <x:c r="S1" s="5" t="str">
        <x:v>Incoming</x:v>
      </x:c>
      <x:c r="T1" s="5" t="str">
        <x:v>Completed</x:v>
      </x:c>
      <x:c r="U1" s="5" t="str">
        <x:v>Temp paid h</x:v>
      </x:c>
    </x:row>
    <x:row r="2" ht="22" customHeight="1">
      <x:c r="A2" s="15" t="str">
        <x:v>Warehouse backlog and staff reassignment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 t="n">
        <x:f>'Dim Date'!C2</x:f>
        <x:v>1</x:v>
      </x:c>
      <x:c r="R2" s="5" t="n">
        <x:f>'Daily Flow'!N2</x:f>
        <x:v>94</x:v>
      </x:c>
      <x:c r="S2" s="5" t="n">
        <x:f>'Daily Flow'!D2</x:f>
        <x:v>488</x:v>
      </x:c>
      <x:c r="T2" s="5" t="n">
        <x:f>'Daily Flow'!M2</x:f>
        <x:v>514</x:v>
      </x:c>
      <x:c r="U2" s="5" t="n">
        <x:f>'Daily Flow'!G2</x:f>
        <x:v>0</x:v>
      </x:c>
    </x:row>
    <x:row r="3" ht="22" customHeight="1">
      <x:c r="A3" s="5" t="str">
        <x:v>Fictional warehouse | 42 operating days | invented 2 Jun-13 Jul 2025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 t="n">
        <x:f>'Dim Date'!C3</x:f>
        <x:v>2</x:v>
      </x:c>
      <x:c r="R3" s="5" t="n">
        <x:f>'Daily Flow'!N3</x:f>
        <x:v>88</x:v>
      </x:c>
      <x:c r="S3" s="5" t="n">
        <x:f>'Daily Flow'!D3</x:f>
        <x:v>508</x:v>
      </x:c>
      <x:c r="T3" s="5" t="n">
        <x:f>'Daily Flow'!M3</x:f>
        <x:v>514</x:v>
      </x:c>
      <x:c r="U3" s="5" t="n">
        <x:f>'Daily Flow'!G3</x:f>
        <x:v>0</x:v>
      </x:c>
    </x:row>
    <x:row r="4" ht="22" customHeight="1">
      <x:c r="A4" s="16" t="str">
        <x:v>Inspired by warehouse experience. All figures and outcomes are synthetic; no company data.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 t="n">
        <x:f>'Dim Date'!C4</x:f>
        <x:v>3</x:v>
      </x:c>
      <x:c r="R4" s="5" t="n">
        <x:f>'Daily Flow'!N4</x:f>
        <x:v>92</x:v>
      </x:c>
      <x:c r="S4" s="5" t="n">
        <x:f>'Daily Flow'!D4</x:f>
        <x:v>518</x:v>
      </x:c>
      <x:c r="T4" s="5" t="n">
        <x:f>'Daily Flow'!M4</x:f>
        <x:v>514</x:v>
      </x:c>
      <x:c r="U4" s="5" t="n">
        <x:f>'Daily Flow'!G4</x:f>
        <x:v>0</x:v>
      </x:c>
    </x:row>
    <x:row r="5" ht="22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 t="n">
        <x:f>'Dim Date'!C5</x:f>
        <x:v>4</x:v>
      </x:c>
      <x:c r="R5" s="5" t="n">
        <x:f>'Daily Flow'!N5</x:f>
        <x:v>71</x:v>
      </x:c>
      <x:c r="S5" s="5" t="n">
        <x:f>'Daily Flow'!D5</x:f>
        <x:v>493</x:v>
      </x:c>
      <x:c r="T5" s="5" t="n">
        <x:f>'Daily Flow'!M5</x:f>
        <x:v>514</x:v>
      </x:c>
      <x:c r="U5" s="5" t="n">
        <x:f>'Daily Flow'!G5</x:f>
        <x:v>0</x:v>
      </x:c>
    </x:row>
    <x:row r="6" ht="22" customHeight="1">
      <x:c r="A6" s="17" t="str">
        <x:v>Peak backlog (orders)</x:v>
      </x:c>
      <x:c r="B6" s="17" t="str">
        <x:v>Final backlog (orders)</x:v>
      </x:c>
      <x:c r="C6" s="17" t="str">
        <x:v>Peak-to-final reduction</x:v>
      </x:c>
      <x:c r="D6" s="17" t="str">
        <x:v>Transferred paid hours</x:v>
      </x:c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 t="n">
        <x:f>'Dim Date'!C6</x:f>
        <x:v>5</x:v>
      </x:c>
      <x:c r="R6" s="5" t="n">
        <x:f>'Daily Flow'!N6</x:f>
        <x:v>62</x:v>
      </x:c>
      <x:c r="S6" s="5" t="n">
        <x:f>'Daily Flow'!D6</x:f>
        <x:v>505</x:v>
      </x:c>
      <x:c r="T6" s="5" t="n">
        <x:f>'Daily Flow'!M6</x:f>
        <x:v>514</x:v>
      </x:c>
      <x:c r="U6" s="5" t="n">
        <x:f>'Daily Flow'!G6</x:f>
        <x:v>0</x:v>
      </x:c>
    </x:row>
    <x:row r="7" ht="22" customHeight="1">
      <x:c r="A7" s="19" t="n">
        <x:f>MAX('Daily Flow'!N2:N43)</x:f>
        <x:v>868</x:v>
      </x:c>
      <x:c r="B7" s="19" t="n">
        <x:f>'Daily Flow'!N43</x:f>
        <x:v>638</x:v>
      </x:c>
      <x:c r="C7" s="18" t="n">
        <x:f>1-B7/A7</x:f>
        <x:v>0.26497695852534564</x:v>
      </x:c>
      <x:c r="D7" s="15" t="n">
        <x:f>SUM('Labour'!E2:E127)</x:f>
        <x:v>585</x:v>
      </x:c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 t="n">
        <x:f>'Dim Date'!C7</x:f>
        <x:v>6</x:v>
      </x:c>
      <x:c r="R7" s="5" t="n">
        <x:f>'Daily Flow'!N7</x:f>
        <x:v>33</x:v>
      </x:c>
      <x:c r="S7" s="5" t="n">
        <x:f>'Daily Flow'!D7</x:f>
        <x:v>485</x:v>
      </x:c>
      <x:c r="T7" s="5" t="n">
        <x:f>'Daily Flow'!M7</x:f>
        <x:v>514</x:v>
      </x:c>
      <x:c r="U7" s="5" t="n">
        <x:f>'Daily Flow'!G7</x:f>
        <x:v>0</x:v>
      </x:c>
    </x:row>
    <x:row r="8" ht="22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 t="n">
        <x:f>'Dim Date'!C8</x:f>
        <x:v>7</x:v>
      </x:c>
      <x:c r="R8" s="5" t="n">
        <x:f>'Daily Flow'!N8</x:f>
        <x:v>22</x:v>
      </x:c>
      <x:c r="S8" s="5" t="n">
        <x:f>'Daily Flow'!D8</x:f>
        <x:v>503</x:v>
      </x:c>
      <x:c r="T8" s="5" t="n">
        <x:f>'Daily Flow'!M8</x:f>
        <x:v>514</x:v>
      </x:c>
      <x:c r="U8" s="5" t="n">
        <x:f>'Daily Flow'!G8</x:f>
        <x:v>0</x:v>
      </x:c>
    </x:row>
    <x:row r="9" ht="22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 t="n">
        <x:f>'Dim Date'!C9</x:f>
        <x:v>8</x:v>
      </x:c>
      <x:c r="R9" s="5" t="n">
        <x:f>'Daily Flow'!N9</x:f>
        <x:v>66</x:v>
      </x:c>
      <x:c r="S9" s="5" t="n">
        <x:f>'Daily Flow'!D9</x:f>
        <x:v>438</x:v>
      </x:c>
      <x:c r="T9" s="5" t="n">
        <x:f>'Daily Flow'!M9</x:f>
        <x:v>394</x:v>
      </x:c>
      <x:c r="U9" s="5" t="n">
        <x:f>'Daily Flow'!G9</x:f>
        <x:v>0</x:v>
      </x:c>
    </x:row>
    <x:row r="10" ht="36" customHeight="1">
      <x:c r="A10" s="7" t="str">
        <x:v>Phase</x:v>
      </x:c>
      <x:c r="B10" s="7" t="str">
        <x:v>Days</x:v>
      </x:c>
      <x:c r="C10" s="7" t="str">
        <x:v>Incoming orders</x:v>
      </x:c>
      <x:c r="D10" s="7" t="str">
        <x:v>Completed orders</x:v>
      </x:c>
      <x:c r="E10" s="7" t="str">
        <x:v>Orders/paid h</x:v>
      </x:c>
      <x:c r="F10" s="7" t="str">
        <x:v>Avg closing backlog</x:v>
      </x:c>
      <x:c r="G10" s="7" t="str">
        <x:v>Recycling load %</x:v>
      </x:c>
      <x:c r="H10" s="7" t="str">
        <x:v>Moved hours</x:v>
      </x:c>
      <x:c r="I10" s="7" t="str">
        <x:v>Training h</x:v>
      </x:c>
      <x:c r="J10" s="5"/>
      <x:c r="K10" s="5"/>
      <x:c r="L10" s="5"/>
      <x:c r="M10" s="5"/>
      <x:c r="N10" s="5"/>
      <x:c r="O10" s="5"/>
      <x:c r="P10" s="5"/>
      <x:c r="Q10" s="5" t="n">
        <x:f>'Dim Date'!C10</x:f>
        <x:v>9</x:v>
      </x:c>
      <x:c r="R10" s="5" t="n">
        <x:f>'Daily Flow'!N10</x:f>
        <x:v>130</x:v>
      </x:c>
      <x:c r="S10" s="5" t="n">
        <x:f>'Daily Flow'!D10</x:f>
        <x:v>458</x:v>
      </x:c>
      <x:c r="T10" s="5" t="n">
        <x:f>'Daily Flow'!M10</x:f>
        <x:v>394</x:v>
      </x:c>
      <x:c r="U10" s="5" t="n">
        <x:f>'Daily Flow'!G10</x:f>
        <x:v>0</x:v>
      </x:c>
    </x:row>
    <x:row r="11" ht="22" customHeight="1">
      <x:c r="A11" s="5" t="str">
        <x:v>Baseline</x:v>
      </x:c>
      <x:c r="B11" s="22" t="n">
        <x:f>COUNTIF('Daily Flow'!C2:C43,A11)</x:f>
        <x:v>7</x:v>
      </x:c>
      <x:c r="C11" s="22" t="n">
        <x:f>SUMIF('Daily Flow'!C2:C43,A11,'Daily Flow'!D2:D43)</x:f>
        <x:v>3500</x:v>
      </x:c>
      <x:c r="D11" s="22" t="n">
        <x:f>SUMIF('Daily Flow'!C2:C43,A11,'Daily Flow'!M2:M43)</x:f>
        <x:v>3598</x:v>
      </x:c>
      <x:c r="E11" s="11" t="n">
        <x:f>D11/(SUMIF('Daily Flow'!C2:C43,A11,'Daily Flow'!F2:F43)+SUMIF('Daily Flow'!C2:C43,A11,'Daily Flow'!G2:G43))</x:f>
        <x:v>2.447619047619048</x:v>
      </x:c>
      <x:c r="F11" s="22" t="n">
        <x:f>SUMIF('Daily Flow'!C2:C43,A11,'Daily Flow'!N2:N43)/B11</x:f>
        <x:v>66</x:v>
      </x:c>
      <x:c r="G11" s="12" t="n">
        <x:f>SUMIFS('Labour'!I2:I127,'Labour'!B2:B127,"REC",'Raw Labour'!A2:A127,"&gt;="&amp;'Dim Date'!A2,'Raw Labour'!A2:A127,"&lt;="&amp;'Dim Date'!A8)/SUMIFS('Labour'!H2:H127,'Labour'!B2:B127,"REC",'Raw Labour'!A2:A127,"&gt;="&amp;'Dim Date'!A2,'Raw Labour'!A2:A127,"&lt;="&amp;'Dim Date'!A8)</x:f>
        <x:v>0.8666666666666667</x:v>
      </x:c>
      <x:c r="H11" s="5" t="n">
        <x:f>SUMIF('Daily Flow'!C2:C43,A11,'Daily Flow'!G2:G43)</x:f>
        <x:v>0</x:v>
      </x:c>
      <x:c r="I11" s="5" t="n">
        <x:f>SUMIF('Daily Flow'!C2:C43,A11,'Daily Flow'!H2:H43)</x:f>
        <x:v>0</x:v>
      </x:c>
      <x:c r="J11" s="5"/>
      <x:c r="K11" s="5"/>
      <x:c r="L11" s="5"/>
      <x:c r="M11" s="5"/>
      <x:c r="N11" s="5"/>
      <x:c r="O11" s="5"/>
      <x:c r="P11" s="5"/>
      <x:c r="Q11" s="5" t="n">
        <x:f>'Dim Date'!C11</x:f>
        <x:v>10</x:v>
      </x:c>
      <x:c r="R11" s="5" t="n">
        <x:f>'Daily Flow'!N11</x:f>
        <x:v>204</x:v>
      </x:c>
      <x:c r="S11" s="5" t="n">
        <x:f>'Daily Flow'!D11</x:f>
        <x:v>468</x:v>
      </x:c>
      <x:c r="T11" s="5" t="n">
        <x:f>'Daily Flow'!M11</x:f>
        <x:v>394</x:v>
      </x:c>
      <x:c r="U11" s="5" t="n">
        <x:f>'Daily Flow'!G11</x:f>
        <x:v>0</x:v>
      </x:c>
    </x:row>
    <x:row r="12" ht="22" customHeight="1">
      <x:c r="A12" s="5" t="str">
        <x:v>Disruption</x:v>
      </x:c>
      <x:c r="B12" s="22" t="n">
        <x:f>COUNTIF('Daily Flow'!C2:C43,A12)</x:f>
        <x:v>14</x:v>
      </x:c>
      <x:c r="C12" s="22" t="n">
        <x:f>SUMIF('Daily Flow'!C2:C43,A12,'Daily Flow'!D2:D43)</x:f>
        <x:v>6300</x:v>
      </x:c>
      <x:c r="D12" s="22" t="n">
        <x:f>SUMIF('Daily Flow'!C2:C43,A12,'Daily Flow'!M2:M43)</x:f>
        <x:v>5516</x:v>
      </x:c>
      <x:c r="E12" s="11" t="n">
        <x:f>D12/(SUMIF('Daily Flow'!C2:C43,A12,'Daily Flow'!F2:F43)+SUMIF('Daily Flow'!C2:C43,A12,'Daily Flow'!G2:G43))</x:f>
        <x:v>1.8761904761904762</x:v>
      </x:c>
      <x:c r="F12" s="22" t="n">
        <x:f>SUMIF('Daily Flow'!C2:C43,A12,'Daily Flow'!N2:N43)/B12</x:f>
        <x:v>444</x:v>
      </x:c>
      <x:c r="G12" s="12" t="n">
        <x:f>SUMIFS('Labour'!I2:I127,'Labour'!B2:B127,"REC",'Raw Labour'!A2:A127,"&gt;="&amp;'Dim Date'!A9,'Raw Labour'!A2:A127,"&lt;="&amp;'Dim Date'!A22)/SUMIFS('Labour'!H2:H127,'Labour'!B2:B127,"REC",'Raw Labour'!A2:A127,"&gt;="&amp;'Dim Date'!A9,'Raw Labour'!A2:A127,"&lt;="&amp;'Dim Date'!A22)</x:f>
        <x:v>0.4444444444444444</x:v>
      </x:c>
      <x:c r="H12" s="5" t="n">
        <x:f>SUMIF('Daily Flow'!C2:C43,A12,'Daily Flow'!G2:G43)</x:f>
        <x:v>0</x:v>
      </x:c>
      <x:c r="I12" s="5" t="n">
        <x:f>SUMIF('Daily Flow'!C2:C43,A12,'Daily Flow'!H2:H43)</x:f>
        <x:v>0</x:v>
      </x:c>
      <x:c r="J12" s="5"/>
      <x:c r="K12" s="5"/>
      <x:c r="L12" s="5"/>
      <x:c r="M12" s="5"/>
      <x:c r="N12" s="5"/>
      <x:c r="O12" s="5"/>
      <x:c r="P12" s="5"/>
      <x:c r="Q12" s="5" t="n">
        <x:f>'Dim Date'!C12</x:f>
        <x:v>11</x:v>
      </x:c>
      <x:c r="R12" s="5" t="n">
        <x:f>'Daily Flow'!N12</x:f>
        <x:v>253</x:v>
      </x:c>
      <x:c r="S12" s="5" t="n">
        <x:f>'Daily Flow'!D12</x:f>
        <x:v>443</x:v>
      </x:c>
      <x:c r="T12" s="5" t="n">
        <x:f>'Daily Flow'!M12</x:f>
        <x:v>394</x:v>
      </x:c>
      <x:c r="U12" s="5" t="n">
        <x:f>'Daily Flow'!G12</x:f>
        <x:v>0</x:v>
      </x:c>
    </x:row>
    <x:row r="13" ht="22" customHeight="1">
      <x:c r="A13" s="5" t="str">
        <x:v>Reassignment</x:v>
      </x:c>
      <x:c r="B13" s="22" t="n">
        <x:f>COUNTIF('Daily Flow'!C2:C43,A13)</x:f>
        <x:v>21</x:v>
      </x:c>
      <x:c r="C13" s="22" t="n">
        <x:f>SUMIF('Daily Flow'!C2:C43,A13,'Daily Flow'!D2:D43)</x:f>
        <x:v>9555</x:v>
      </x:c>
      <x:c r="D13" s="22" t="n">
        <x:f>SUMIF('Daily Flow'!C2:C43,A13,'Daily Flow'!M2:M43)</x:f>
        <x:v>9723</x:v>
      </x:c>
      <x:c r="E13" s="11" t="n">
        <x:f>D13/(SUMIF('Daily Flow'!C2:C43,A13,'Daily Flow'!F2:F43)+SUMIF('Daily Flow'!C2:C43,A13,'Daily Flow'!G2:G43))</x:f>
        <x:v>1.9465465465465466</x:v>
      </x:c>
      <x:c r="F13" s="22" t="n">
        <x:f>SUMIF('Daily Flow'!C2:C43,A13,'Daily Flow'!N2:N43)/B13</x:f>
        <x:v>756</x:v>
      </x:c>
      <x:c r="G13" s="12" t="n">
        <x:f>SUMIFS('Labour'!I2:I127,'Labour'!B2:B127,"REC",'Raw Labour'!A2:A127,"&gt;="&amp;'Dim Date'!A23,'Raw Labour'!A2:A127,"&lt;="&amp;'Dim Date'!A43)/SUMIFS('Labour'!H2:H127,'Labour'!B2:B127,"REC",'Raw Labour'!A2:A127,"&gt;="&amp;'Dim Date'!A23,'Raw Labour'!A2:A127,"&lt;="&amp;'Dim Date'!A43)</x:f>
        <x:v>0.7402298850574714</x:v>
      </x:c>
      <x:c r="H13" s="5" t="n">
        <x:f>SUMIF('Daily Flow'!C2:C43,A13,'Daily Flow'!G2:G43)</x:f>
        <x:v>585</x:v>
      </x:c>
      <x:c r="I13" s="5" t="n">
        <x:f>SUMIF('Daily Flow'!C2:C43,A13,'Daily Flow'!H2:H43)</x:f>
        <x:v>18</x:v>
      </x:c>
      <x:c r="J13" s="5"/>
      <x:c r="K13" s="5"/>
      <x:c r="L13" s="5"/>
      <x:c r="M13" s="5"/>
      <x:c r="N13" s="5"/>
      <x:c r="O13" s="5"/>
      <x:c r="P13" s="5"/>
      <x:c r="Q13" s="5" t="n">
        <x:f>'Dim Date'!C13</x:f>
        <x:v>12</x:v>
      </x:c>
      <x:c r="R13" s="5" t="n">
        <x:f>'Daily Flow'!N13</x:f>
        <x:v>314</x:v>
      </x:c>
      <x:c r="S13" s="5" t="n">
        <x:f>'Daily Flow'!D13</x:f>
        <x:v>455</x:v>
      </x:c>
      <x:c r="T13" s="5" t="n">
        <x:f>'Daily Flow'!M13</x:f>
        <x:v>394</x:v>
      </x:c>
      <x:c r="U13" s="5" t="n">
        <x:f>'Daily Flow'!G13</x:f>
        <x:v>0</x:v>
      </x:c>
    </x:row>
    <x:row r="14" ht="22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 t="n">
        <x:f>'Dim Date'!C14</x:f>
        <x:v>13</x:v>
      </x:c>
      <x:c r="R14" s="5" t="n">
        <x:f>'Daily Flow'!N14</x:f>
        <x:v>355</x:v>
      </x:c>
      <x:c r="S14" s="5" t="n">
        <x:f>'Daily Flow'!D14</x:f>
        <x:v>435</x:v>
      </x:c>
      <x:c r="T14" s="5" t="n">
        <x:f>'Daily Flow'!M14</x:f>
        <x:v>394</x:v>
      </x:c>
      <x:c r="U14" s="5" t="n">
        <x:f>'Daily Flow'!G14</x:f>
        <x:v>0</x:v>
      </x:c>
    </x:row>
    <x:row r="15" ht="22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 t="n">
        <x:f>'Dim Date'!C15</x:f>
        <x:v>14</x:v>
      </x:c>
      <x:c r="R15" s="5" t="n">
        <x:f>'Daily Flow'!N15</x:f>
        <x:v>414</x:v>
      </x:c>
      <x:c r="S15" s="5" t="n">
        <x:f>'Daily Flow'!D15</x:f>
        <x:v>453</x:v>
      </x:c>
      <x:c r="T15" s="5" t="n">
        <x:f>'Daily Flow'!M15</x:f>
        <x:v>394</x:v>
      </x:c>
      <x:c r="U15" s="5" t="n">
        <x:f>'Daily Flow'!G15</x:f>
        <x:v>0</x:v>
      </x:c>
    </x:row>
    <x:row r="16" ht="22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 t="n">
        <x:f>'Dim Date'!C16</x:f>
        <x:v>15</x:v>
      </x:c>
      <x:c r="R16" s="5" t="n">
        <x:f>'Daily Flow'!N16</x:f>
        <x:v>458</x:v>
      </x:c>
      <x:c r="S16" s="5" t="n">
        <x:f>'Daily Flow'!D16</x:f>
        <x:v>438</x:v>
      </x:c>
      <x:c r="T16" s="5" t="n">
        <x:f>'Daily Flow'!M16</x:f>
        <x:v>394</x:v>
      </x:c>
      <x:c r="U16" s="5" t="n">
        <x:f>'Daily Flow'!G16</x:f>
        <x:v>0</x:v>
      </x:c>
    </x:row>
    <x:row r="17" ht="22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 t="n">
        <x:f>'Dim Date'!C17</x:f>
        <x:v>16</x:v>
      </x:c>
      <x:c r="R17" s="5" t="n">
        <x:f>'Daily Flow'!N17</x:f>
        <x:v>522</x:v>
      </x:c>
      <x:c r="S17" s="5" t="n">
        <x:f>'Daily Flow'!D17</x:f>
        <x:v>458</x:v>
      </x:c>
      <x:c r="T17" s="5" t="n">
        <x:f>'Daily Flow'!M17</x:f>
        <x:v>394</x:v>
      </x:c>
      <x:c r="U17" s="5" t="n">
        <x:f>'Daily Flow'!G17</x:f>
        <x:v>0</x:v>
      </x:c>
    </x:row>
    <x:row r="18" ht="22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 t="n">
        <x:f>'Dim Date'!C18</x:f>
        <x:v>17</x:v>
      </x:c>
      <x:c r="R18" s="5" t="n">
        <x:f>'Daily Flow'!N18</x:f>
        <x:v>596</x:v>
      </x:c>
      <x:c r="S18" s="5" t="n">
        <x:f>'Daily Flow'!D18</x:f>
        <x:v>468</x:v>
      </x:c>
      <x:c r="T18" s="5" t="n">
        <x:f>'Daily Flow'!M18</x:f>
        <x:v>394</x:v>
      </x:c>
      <x:c r="U18" s="5" t="n">
        <x:f>'Daily Flow'!G18</x:f>
        <x:v>0</x:v>
      </x:c>
    </x:row>
    <x:row r="19" ht="22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 t="n">
        <x:f>'Dim Date'!C19</x:f>
        <x:v>18</x:v>
      </x:c>
      <x:c r="R19" s="5" t="n">
        <x:f>'Daily Flow'!N19</x:f>
        <x:v>645</x:v>
      </x:c>
      <x:c r="S19" s="5" t="n">
        <x:f>'Daily Flow'!D19</x:f>
        <x:v>443</x:v>
      </x:c>
      <x:c r="T19" s="5" t="n">
        <x:f>'Daily Flow'!M19</x:f>
        <x:v>394</x:v>
      </x:c>
      <x:c r="U19" s="5" t="n">
        <x:f>'Daily Flow'!G19</x:f>
        <x:v>0</x:v>
      </x:c>
    </x:row>
    <x:row r="20" ht="22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 t="n">
        <x:f>'Dim Date'!C20</x:f>
        <x:v>19</x:v>
      </x:c>
      <x:c r="R20" s="5" t="n">
        <x:f>'Daily Flow'!N20</x:f>
        <x:v>706</x:v>
      </x:c>
      <x:c r="S20" s="5" t="n">
        <x:f>'Daily Flow'!D20</x:f>
        <x:v>455</x:v>
      </x:c>
      <x:c r="T20" s="5" t="n">
        <x:f>'Daily Flow'!M20</x:f>
        <x:v>394</x:v>
      </x:c>
      <x:c r="U20" s="5" t="n">
        <x:f>'Daily Flow'!G20</x:f>
        <x:v>0</x:v>
      </x:c>
    </x:row>
    <x:row r="21" ht="22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 t="n">
        <x:f>'Dim Date'!C21</x:f>
        <x:v>20</x:v>
      </x:c>
      <x:c r="R21" s="5" t="n">
        <x:f>'Daily Flow'!N21</x:f>
        <x:v>747</x:v>
      </x:c>
      <x:c r="S21" s="5" t="n">
        <x:f>'Daily Flow'!D21</x:f>
        <x:v>435</x:v>
      </x:c>
      <x:c r="T21" s="5" t="n">
        <x:f>'Daily Flow'!M21</x:f>
        <x:v>394</x:v>
      </x:c>
      <x:c r="U21" s="5" t="n">
        <x:f>'Daily Flow'!G21</x:f>
        <x:v>0</x:v>
      </x:c>
    </x:row>
    <x:row r="22" ht="22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 t="n">
        <x:f>'Dim Date'!C22</x:f>
        <x:v>21</x:v>
      </x:c>
      <x:c r="R22" s="5" t="n">
        <x:f>'Daily Flow'!N22</x:f>
        <x:v>806</x:v>
      </x:c>
      <x:c r="S22" s="5" t="n">
        <x:f>'Daily Flow'!D22</x:f>
        <x:v>453</x:v>
      </x:c>
      <x:c r="T22" s="5" t="n">
        <x:f>'Daily Flow'!M22</x:f>
        <x:v>394</x:v>
      </x:c>
      <x:c r="U22" s="5" t="n">
        <x:f>'Daily Flow'!G22</x:f>
        <x:v>0</x:v>
      </x:c>
    </x:row>
    <x:row r="23" ht="22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 t="n">
        <x:f>'Dim Date'!C23</x:f>
        <x:v>22</x:v>
      </x:c>
      <x:c r="R23" s="5" t="n">
        <x:f>'Daily Flow'!N23</x:f>
        <x:v>810</x:v>
      </x:c>
      <x:c r="S23" s="5" t="n">
        <x:f>'Daily Flow'!D23</x:f>
        <x:v>443</x:v>
      </x:c>
      <x:c r="T23" s="5" t="n">
        <x:f>'Daily Flow'!M23</x:f>
        <x:v>439</x:v>
      </x:c>
      <x:c r="U23" s="5" t="n">
        <x:f>'Daily Flow'!G23</x:f>
        <x:v>15</x:v>
      </x:c>
    </x:row>
    <x:row r="24" ht="22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 t="n">
        <x:f>'Dim Date'!C24</x:f>
        <x:v>23</x:v>
      </x:c>
      <x:c r="R24" s="5" t="n">
        <x:f>'Daily Flow'!N24</x:f>
        <x:v>834</x:v>
      </x:c>
      <x:c r="S24" s="5" t="n">
        <x:f>'Daily Flow'!D24</x:f>
        <x:v>463</x:v>
      </x:c>
      <x:c r="T24" s="5" t="n">
        <x:f>'Daily Flow'!M24</x:f>
        <x:v>439</x:v>
      </x:c>
      <x:c r="U24" s="5" t="n">
        <x:f>'Daily Flow'!G24</x:f>
        <x:v>15</x:v>
      </x:c>
    </x:row>
    <x:row r="25" ht="22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 t="n">
        <x:f>'Dim Date'!C25</x:f>
        <x:v>24</x:v>
      </x:c>
      <x:c r="R25" s="5" t="n">
        <x:f>'Daily Flow'!N25</x:f>
        <x:v>868</x:v>
      </x:c>
      <x:c r="S25" s="5" t="n">
        <x:f>'Daily Flow'!D25</x:f>
        <x:v>473</x:v>
      </x:c>
      <x:c r="T25" s="5" t="n">
        <x:f>'Daily Flow'!M25</x:f>
        <x:v>439</x:v>
      </x:c>
      <x:c r="U25" s="5" t="n">
        <x:f>'Daily Flow'!G25</x:f>
        <x:v>15</x:v>
      </x:c>
    </x:row>
    <x:row r="26" ht="22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 t="n">
        <x:f>'Dim Date'!C26</x:f>
        <x:v>25</x:v>
      </x:c>
      <x:c r="R26" s="5" t="n">
        <x:f>'Daily Flow'!N26</x:f>
        <x:v>849</x:v>
      </x:c>
      <x:c r="S26" s="5" t="n">
        <x:f>'Daily Flow'!D26</x:f>
        <x:v>448</x:v>
      </x:c>
      <x:c r="T26" s="5" t="n">
        <x:f>'Daily Flow'!M26</x:f>
        <x:v>467</x:v>
      </x:c>
      <x:c r="U26" s="5" t="n">
        <x:f>'Daily Flow'!G26</x:f>
        <x:v>30</x:v>
      </x:c>
    </x:row>
    <x:row r="27" ht="22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 t="n">
        <x:f>'Dim Date'!C27</x:f>
        <x:v>26</x:v>
      </x:c>
      <x:c r="R27" s="5" t="n">
        <x:f>'Daily Flow'!N27</x:f>
        <x:v>842</x:v>
      </x:c>
      <x:c r="S27" s="5" t="n">
        <x:f>'Daily Flow'!D27</x:f>
        <x:v>460</x:v>
      </x:c>
      <x:c r="T27" s="5" t="n">
        <x:f>'Daily Flow'!M27</x:f>
        <x:v>467</x:v>
      </x:c>
      <x:c r="U27" s="5" t="n">
        <x:f>'Daily Flow'!G27</x:f>
        <x:v>30</x:v>
      </x:c>
    </x:row>
    <x:row r="28" ht="22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 t="n">
        <x:f>'Dim Date'!C28</x:f>
        <x:v>27</x:v>
      </x:c>
      <x:c r="R28" s="5" t="n">
        <x:f>'Daily Flow'!N28</x:f>
        <x:v>815</x:v>
      </x:c>
      <x:c r="S28" s="5" t="n">
        <x:f>'Daily Flow'!D28</x:f>
        <x:v>440</x:v>
      </x:c>
      <x:c r="T28" s="5" t="n">
        <x:f>'Daily Flow'!M28</x:f>
        <x:v>467</x:v>
      </x:c>
      <x:c r="U28" s="5" t="n">
        <x:f>'Daily Flow'!G28</x:f>
        <x:v>30</x:v>
      </x:c>
    </x:row>
    <x:row r="29" ht="22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 t="n">
        <x:f>'Dim Date'!C29</x:f>
        <x:v>28</x:v>
      </x:c>
      <x:c r="R29" s="5" t="n">
        <x:f>'Daily Flow'!N29</x:f>
        <x:v>806</x:v>
      </x:c>
      <x:c r="S29" s="5" t="n">
        <x:f>'Daily Flow'!D29</x:f>
        <x:v>458</x:v>
      </x:c>
      <x:c r="T29" s="5" t="n">
        <x:f>'Daily Flow'!M29</x:f>
        <x:v>467</x:v>
      </x:c>
      <x:c r="U29" s="5" t="n">
        <x:f>'Daily Flow'!G29</x:f>
        <x:v>30</x:v>
      </x:c>
    </x:row>
    <x:row r="30" ht="22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 t="n">
        <x:f>'Dim Date'!C30</x:f>
        <x:v>29</x:v>
      </x:c>
      <x:c r="R30" s="5" t="n">
        <x:f>'Daily Flow'!N30</x:f>
        <x:v>782</x:v>
      </x:c>
      <x:c r="S30" s="5" t="n">
        <x:f>'Daily Flow'!D30</x:f>
        <x:v>443</x:v>
      </x:c>
      <x:c r="T30" s="5" t="n">
        <x:f>'Daily Flow'!M30</x:f>
        <x:v>467</x:v>
      </x:c>
      <x:c r="U30" s="5" t="n">
        <x:f>'Daily Flow'!G30</x:f>
        <x:v>30</x:v>
      </x:c>
    </x:row>
    <x:row r="31" ht="22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 t="n">
        <x:f>'Dim Date'!C31</x:f>
        <x:v>30</x:v>
      </x:c>
      <x:c r="R31" s="5" t="n">
        <x:f>'Daily Flow'!N31</x:f>
        <x:v>778</x:v>
      </x:c>
      <x:c r="S31" s="5" t="n">
        <x:f>'Daily Flow'!D31</x:f>
        <x:v>463</x:v>
      </x:c>
      <x:c r="T31" s="5" t="n">
        <x:f>'Daily Flow'!M31</x:f>
        <x:v>467</x:v>
      </x:c>
      <x:c r="U31" s="5" t="n">
        <x:f>'Daily Flow'!G31</x:f>
        <x:v>30</x:v>
      </x:c>
    </x:row>
    <x:row r="32" ht="22" customHeight="1">
      <x:c r="A32" s="17" t="str">
        <x:v>What this scenario suggests</x:v>
      </x:c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 t="n">
        <x:f>'Dim Date'!C32</x:f>
        <x:v>31</x:v>
      </x:c>
      <x:c r="R32" s="5" t="n">
        <x:f>'Daily Flow'!N32</x:f>
        <x:v>784</x:v>
      </x:c>
      <x:c r="S32" s="5" t="n">
        <x:f>'Daily Flow'!D32</x:f>
        <x:v>473</x:v>
      </x:c>
      <x:c r="T32" s="5" t="n">
        <x:f>'Daily Flow'!M32</x:f>
        <x:v>467</x:v>
      </x:c>
      <x:c r="U32" s="5" t="n">
        <x:f>'Daily Flow'!G32</x:f>
        <x:v>30</x:v>
      </x:c>
    </x:row>
    <x:row r="33" ht="22" customHeight="1">
      <x:c r="A33" s="5" t="str">
        <x:v>Reassignment starts on day 22 and reaches four workers on day 25; training reduces usable hours.</x:v>
      </x:c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 t="n">
        <x:f>'Dim Date'!C33</x:f>
        <x:v>32</x:v>
      </x:c>
      <x:c r="R33" s="5" t="n">
        <x:f>'Daily Flow'!N33</x:f>
        <x:v>765</x:v>
      </x:c>
      <x:c r="S33" s="5" t="n">
        <x:f>'Daily Flow'!D33</x:f>
        <x:v>448</x:v>
      </x:c>
      <x:c r="T33" s="5" t="n">
        <x:f>'Daily Flow'!M33</x:f>
        <x:v>467</x:v>
      </x:c>
      <x:c r="U33" s="5" t="n">
        <x:f>'Daily Flow'!G33</x:f>
        <x:v>30</x:v>
      </x:c>
    </x:row>
    <x:row r="34" ht="22" customHeight="1">
      <x:c r="A34" s="5" t="str">
        <x:v>Review delivery backlog alongside recycling cover before moving a small, trained team.</x:v>
      </x:c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 t="n">
        <x:f>'Dim Date'!C34</x:f>
        <x:v>33</x:v>
      </x:c>
      <x:c r="R34" s="5" t="n">
        <x:f>'Daily Flow'!N34</x:f>
        <x:v>758</x:v>
      </x:c>
      <x:c r="S34" s="5" t="n">
        <x:f>'Daily Flow'!D34</x:f>
        <x:v>460</x:v>
      </x:c>
      <x:c r="T34" s="5" t="n">
        <x:f>'Daily Flow'!M34</x:f>
        <x:v>467</x:v>
      </x:c>
      <x:c r="U34" s="5" t="n">
        <x:f>'Daily Flow'!G34</x:f>
        <x:v>30</x:v>
      </x:c>
    </x:row>
    <x:row r="35" ht="22" customHeight="1">
      <x:c r="A35" s="5" t="str">
        <x:v>Native productivity also improves by assumption, so the decline cannot be attributed to reassignment alone.</x:v>
      </x:c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 t="n">
        <x:f>'Dim Date'!C35</x:f>
        <x:v>34</x:v>
      </x:c>
      <x:c r="R35" s="5" t="n">
        <x:f>'Daily Flow'!N35</x:f>
        <x:v>731</x:v>
      </x:c>
      <x:c r="S35" s="5" t="n">
        <x:f>'Daily Flow'!D35</x:f>
        <x:v>440</x:v>
      </x:c>
      <x:c r="T35" s="5" t="n">
        <x:f>'Daily Flow'!M35</x:f>
        <x:v>467</x:v>
      </x:c>
      <x:c r="U35" s="5" t="n">
        <x:f>'Daily Flow'!G35</x:f>
        <x:v>30</x:v>
      </x:c>
    </x:row>
    <x:row r="36" ht="22" customHeight="1">
      <x:c r="A36" s="5" t="str">
        <x:v>Backlog remains at 638 orders. This scenario does not estimate savings or on-time delivery.</x:v>
      </x:c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 t="n">
        <x:f>'Dim Date'!C36</x:f>
        <x:v>35</x:v>
      </x:c>
      <x:c r="R36" s="5" t="n">
        <x:f>'Daily Flow'!N36</x:f>
        <x:v>722</x:v>
      </x:c>
      <x:c r="S36" s="5" t="n">
        <x:f>'Daily Flow'!D36</x:f>
        <x:v>458</x:v>
      </x:c>
      <x:c r="T36" s="5" t="n">
        <x:f>'Daily Flow'!M36</x:f>
        <x:v>467</x:v>
      </x:c>
      <x:c r="U36" s="5" t="n">
        <x:f>'Daily Flow'!G36</x:f>
        <x:v>30</x:v>
      </x:c>
    </x:row>
    <x:row r="37" ht="22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 t="n">
        <x:f>'Dim Date'!C37</x:f>
        <x:v>36</x:v>
      </x:c>
      <x:c r="R37" s="5" t="n">
        <x:f>'Daily Flow'!N37</x:f>
        <x:v>698</x:v>
      </x:c>
      <x:c r="S37" s="5" t="n">
        <x:f>'Daily Flow'!D37</x:f>
        <x:v>443</x:v>
      </x:c>
      <x:c r="T37" s="5" t="n">
        <x:f>'Daily Flow'!M37</x:f>
        <x:v>467</x:v>
      </x:c>
      <x:c r="U37" s="5" t="n">
        <x:f>'Daily Flow'!G37</x:f>
        <x:v>30</x:v>
      </x:c>
    </x:row>
    <x:row r="38" ht="22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 t="n">
        <x:f>'Dim Date'!C38</x:f>
        <x:v>37</x:v>
      </x:c>
      <x:c r="R38" s="5" t="n">
        <x:f>'Daily Flow'!N38</x:f>
        <x:v>694</x:v>
      </x:c>
      <x:c r="S38" s="5" t="n">
        <x:f>'Daily Flow'!D38</x:f>
        <x:v>463</x:v>
      </x:c>
      <x:c r="T38" s="5" t="n">
        <x:f>'Daily Flow'!M38</x:f>
        <x:v>467</x:v>
      </x:c>
      <x:c r="U38" s="5" t="n">
        <x:f>'Daily Flow'!G38</x:f>
        <x:v>30</x:v>
      </x:c>
    </x:row>
    <x:row r="39" ht="22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 t="n">
        <x:f>'Dim Date'!C39</x:f>
        <x:v>38</x:v>
      </x:c>
      <x:c r="R39" s="5" t="n">
        <x:f>'Daily Flow'!N39</x:f>
        <x:v>700</x:v>
      </x:c>
      <x:c r="S39" s="5" t="n">
        <x:f>'Daily Flow'!D39</x:f>
        <x:v>473</x:v>
      </x:c>
      <x:c r="T39" s="5" t="n">
        <x:f>'Daily Flow'!M39</x:f>
        <x:v>467</x:v>
      </x:c>
      <x:c r="U39" s="5" t="n">
        <x:f>'Daily Flow'!G39</x:f>
        <x:v>30</x:v>
      </x:c>
    </x:row>
    <x:row r="40" ht="22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 t="n">
        <x:f>'Dim Date'!C40</x:f>
        <x:v>39</x:v>
      </x:c>
      <x:c r="R40" s="5" t="n">
        <x:f>'Daily Flow'!N40</x:f>
        <x:v>681</x:v>
      </x:c>
      <x:c r="S40" s="5" t="n">
        <x:f>'Daily Flow'!D40</x:f>
        <x:v>448</x:v>
      </x:c>
      <x:c r="T40" s="5" t="n">
        <x:f>'Daily Flow'!M40</x:f>
        <x:v>467</x:v>
      </x:c>
      <x:c r="U40" s="5" t="n">
        <x:f>'Daily Flow'!G40</x:f>
        <x:v>30</x:v>
      </x:c>
    </x:row>
    <x:row r="41" ht="22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 t="n">
        <x:f>'Dim Date'!C41</x:f>
        <x:v>40</x:v>
      </x:c>
      <x:c r="R41" s="5" t="n">
        <x:f>'Daily Flow'!N41</x:f>
        <x:v>674</x:v>
      </x:c>
      <x:c r="S41" s="5" t="n">
        <x:f>'Daily Flow'!D41</x:f>
        <x:v>460</x:v>
      </x:c>
      <x:c r="T41" s="5" t="n">
        <x:f>'Daily Flow'!M41</x:f>
        <x:v>467</x:v>
      </x:c>
      <x:c r="U41" s="5" t="n">
        <x:f>'Daily Flow'!G41</x:f>
        <x:v>30</x:v>
      </x:c>
    </x:row>
    <x:row r="42" ht="22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 t="n">
        <x:f>'Dim Date'!C42</x:f>
        <x:v>41</x:v>
      </x:c>
      <x:c r="R42" s="5" t="n">
        <x:f>'Daily Flow'!N42</x:f>
        <x:v>647</x:v>
      </x:c>
      <x:c r="S42" s="5" t="n">
        <x:f>'Daily Flow'!D42</x:f>
        <x:v>440</x:v>
      </x:c>
      <x:c r="T42" s="5" t="n">
        <x:f>'Daily Flow'!M42</x:f>
        <x:v>467</x:v>
      </x:c>
      <x:c r="U42" s="5" t="n">
        <x:f>'Daily Flow'!G42</x:f>
        <x:v>30</x:v>
      </x:c>
    </x:row>
    <x:row r="43" ht="22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 t="n">
        <x:f>'Dim Date'!C43</x:f>
        <x:v>42</x:v>
      </x:c>
      <x:c r="R43" s="5" t="n">
        <x:f>'Daily Flow'!N43</x:f>
        <x:v>638</x:v>
      </x:c>
      <x:c r="S43" s="5" t="n">
        <x:f>'Daily Flow'!D43</x:f>
        <x:v>458</x:v>
      </x:c>
      <x:c r="T43" s="5" t="n">
        <x:f>'Daily Flow'!M43</x:f>
        <x:v>467</x:v>
      </x:c>
      <x:c r="U43" s="5" t="n">
        <x:f>'Daily Flow'!G43</x:f>
        <x:v>30</x:v>
      </x:c>
    </x:row>
  </x:sheetData>
  <x:mergeCells>
    <x:mergeCell ref="A2:M2"/>
    <x:mergeCell ref="A3:M3"/>
    <x:mergeCell ref="A4:M4"/>
    <x:mergeCell ref="A32:M32"/>
    <x:mergeCell ref="A33:M33"/>
    <x:mergeCell ref="A34:M34"/>
    <x:mergeCell ref="A35:M35"/>
    <x:mergeCell ref="A36:M36"/>
  </x:mergeCells>
  <x:pageMargins left="0.7" right="0.7" top="0.75" bottom="0.75" header="0.3" footer="0.3"/>
  <x:drawing xmlns:r="http://schemas.openxmlformats.org/officeDocument/2006/relationships" r:id="R259dc7c90f21435c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22" customHeight="1">
      <x:c r="A1" s="7" t="str">
        <x:v>DateKey</x:v>
      </x:c>
      <x:c r="B1" s="7" t="str">
        <x:v>Date</x:v>
      </x:c>
      <x:c r="C1" s="7" t="str">
        <x:v>Phase</x:v>
      </x:c>
      <x:c r="D1" s="7" t="str">
        <x:v>Incoming orders</x:v>
      </x:c>
      <x:c r="E1" s="7" t="str">
        <x:v>Rate orders/eff h</x:v>
      </x:c>
      <x:c r="F1" s="7" t="str">
        <x:v>Native paid h</x:v>
      </x:c>
      <x:c r="G1" s="7" t="str">
        <x:v>Temp paid h</x:v>
      </x:c>
      <x:c r="H1" s="7" t="str">
        <x:v>Training h</x:v>
      </x:c>
      <x:c r="I1" s="7" t="str">
        <x:v>Mentor h</x:v>
      </x:c>
      <x:c r="J1" s="7" t="str">
        <x:v>Temp efficiency</x:v>
      </x:c>
      <x:c r="K1" s="7" t="str">
        <x:v>Capacity orders</x:v>
      </x:c>
      <x:c r="L1" s="7" t="str">
        <x:v>Opening backlog</x:v>
      </x:c>
      <x:c r="M1" s="7" t="str">
        <x:v>Completed orders</x:v>
      </x:c>
      <x:c r="N1" s="7" t="str">
        <x:v>Closing backlog</x:v>
      </x:c>
      <x:c r="O1" s="7" t="str">
        <x:v>Work queue cleared %</x:v>
      </x:c>
      <x:c r="P1" s="7" t="str">
        <x:v>Backlog days proxy</x:v>
      </x:c>
      <x:c r="Q1" s="7" t="str">
        <x:v>Orders/paid h</x:v>
      </x:c>
    </x:row>
    <x:row r="2" ht="22" customHeight="1">
      <x:c r="A2" s="5" t="n">
        <x:f>'Raw Delivery'!A2</x:f>
        <x:v>20250602</x:v>
      </x:c>
      <x:c r="B2" s="10" t="n">
        <x:f>'Raw Delivery'!B2</x:f>
        <x:v>45810</x:v>
      </x:c>
      <x:c r="C2" s="5" t="str">
        <x:f>'Raw Delivery'!C2</x:f>
        <x:v>Baseline</x:v>
      </x:c>
      <x:c r="D2" s="5" t="n">
        <x:f>'Raw Delivery'!D2</x:f>
        <x:v>488</x:v>
      </x:c>
      <x:c r="E2" s="11" t="n">
        <x:f>'Raw Delivery'!E2</x:f>
        <x:v>2.45</x:v>
      </x:c>
      <x:c r="F2" s="11" t="n">
        <x:f>'Raw Labour'!D2*'Raw Labour'!E2</x:f>
        <x:v>210</x:v>
      </x:c>
      <x:c r="G2" s="11" t="n">
        <x:f>'Raw Labour'!G2</x:f>
        <x:v>0</x:v>
      </x:c>
      <x:c r="H2" s="11" t="n">
        <x:f>'Raw Labour'!H2</x:f>
        <x:v>0</x:v>
      </x:c>
      <x:c r="I2" s="11" t="n">
        <x:f>'Raw Labour'!I2</x:f>
        <x:v>0</x:v>
      </x:c>
      <x:c r="J2" s="27" t="n">
        <x:f>'Raw Labour'!K2</x:f>
        <x:v>0.45</x:v>
      </x:c>
      <x:c r="K2" s="5" t="n">
        <x:f>ROUNDDOWN((F2-I2+(G2-H2)*J2)*E2,0)</x:f>
        <x:v>514</x:v>
      </x:c>
      <x:c r="L2" s="5" t="n">
        <x:f>120</x:f>
        <x:v>120</x:v>
      </x:c>
      <x:c r="M2" s="5" t="n">
        <x:f>MIN(L2+D2,K2)</x:f>
        <x:v>514</x:v>
      </x:c>
      <x:c r="N2" s="5" t="n">
        <x:f>L2+D2-M2</x:f>
        <x:v>94</x:v>
      </x:c>
      <x:c r="O2" s="12" t="n">
        <x:f>M2/(L2+D2)</x:f>
        <x:v>0.8453947368421053</x:v>
      </x:c>
      <x:c r="P2" s="11" t="n">
        <x:f>N2/455</x:f>
        <x:v>0.20659340659340658</x:v>
      </x:c>
      <x:c r="Q2" s="11" t="n">
        <x:f>M2/(F2+G2)</x:f>
        <x:v>2.447619047619048</x:v>
      </x:c>
    </x:row>
    <x:row r="3" ht="22" customHeight="1">
      <x:c r="A3" s="5" t="n">
        <x:f>'Raw Delivery'!A3</x:f>
        <x:v>20250603</x:v>
      </x:c>
      <x:c r="B3" s="10" t="n">
        <x:f>'Raw Delivery'!B3</x:f>
        <x:v>45811</x:v>
      </x:c>
      <x:c r="C3" s="5" t="str">
        <x:f>'Raw Delivery'!C3</x:f>
        <x:v>Baseline</x:v>
      </x:c>
      <x:c r="D3" s="5" t="n">
        <x:f>'Raw Delivery'!D3</x:f>
        <x:v>508</x:v>
      </x:c>
      <x:c r="E3" s="11" t="n">
        <x:f>'Raw Delivery'!E3</x:f>
        <x:v>2.45</x:v>
      </x:c>
      <x:c r="F3" s="11" t="n">
        <x:f>'Raw Labour'!D5*'Raw Labour'!E5</x:f>
        <x:v>210</x:v>
      </x:c>
      <x:c r="G3" s="11" t="n">
        <x:f>'Raw Labour'!G5</x:f>
        <x:v>0</x:v>
      </x:c>
      <x:c r="H3" s="11" t="n">
        <x:f>'Raw Labour'!H5</x:f>
        <x:v>0</x:v>
      </x:c>
      <x:c r="I3" s="11" t="n">
        <x:f>'Raw Labour'!I5</x:f>
        <x:v>0</x:v>
      </x:c>
      <x:c r="J3" s="27" t="n">
        <x:f>'Raw Labour'!K5</x:f>
        <x:v>0.45</x:v>
      </x:c>
      <x:c r="K3" s="5" t="n">
        <x:f>ROUNDDOWN((F3-I3+(G3-H3)*J3)*E3,0)</x:f>
        <x:v>514</x:v>
      </x:c>
      <x:c r="L3" s="5" t="n">
        <x:f>N2</x:f>
        <x:v>94</x:v>
      </x:c>
      <x:c r="M3" s="5" t="n">
        <x:f>MIN(L3+D3,K3)</x:f>
        <x:v>514</x:v>
      </x:c>
      <x:c r="N3" s="5" t="n">
        <x:f>L3+D3-M3</x:f>
        <x:v>88</x:v>
      </x:c>
      <x:c r="O3" s="12" t="n">
        <x:f>M3/(L3+D3)</x:f>
        <x:v>0.8538205980066446</x:v>
      </x:c>
      <x:c r="P3" s="11" t="n">
        <x:f>N3/455</x:f>
        <x:v>0.1934065934065934</x:v>
      </x:c>
      <x:c r="Q3" s="11" t="n">
        <x:f>M3/(F3+G3)</x:f>
        <x:v>2.447619047619048</x:v>
      </x:c>
    </x:row>
    <x:row r="4" ht="22" customHeight="1">
      <x:c r="A4" s="5" t="n">
        <x:f>'Raw Delivery'!A4</x:f>
        <x:v>20250604</x:v>
      </x:c>
      <x:c r="B4" s="10" t="n">
        <x:f>'Raw Delivery'!B4</x:f>
        <x:v>45812</x:v>
      </x:c>
      <x:c r="C4" s="5" t="str">
        <x:f>'Raw Delivery'!C4</x:f>
        <x:v>Baseline</x:v>
      </x:c>
      <x:c r="D4" s="5" t="n">
        <x:f>'Raw Delivery'!D4</x:f>
        <x:v>518</x:v>
      </x:c>
      <x:c r="E4" s="11" t="n">
        <x:f>'Raw Delivery'!E4</x:f>
        <x:v>2.45</x:v>
      </x:c>
      <x:c r="F4" s="11" t="n">
        <x:f>'Raw Labour'!D8*'Raw Labour'!E8</x:f>
        <x:v>210</x:v>
      </x:c>
      <x:c r="G4" s="11" t="n">
        <x:f>'Raw Labour'!G8</x:f>
        <x:v>0</x:v>
      </x:c>
      <x:c r="H4" s="11" t="n">
        <x:f>'Raw Labour'!H8</x:f>
        <x:v>0</x:v>
      </x:c>
      <x:c r="I4" s="11" t="n">
        <x:f>'Raw Labour'!I8</x:f>
        <x:v>0</x:v>
      </x:c>
      <x:c r="J4" s="27" t="n">
        <x:f>'Raw Labour'!K8</x:f>
        <x:v>0.45</x:v>
      </x:c>
      <x:c r="K4" s="5" t="n">
        <x:f>ROUNDDOWN((F4-I4+(G4-H4)*J4)*E4,0)</x:f>
        <x:v>514</x:v>
      </x:c>
      <x:c r="L4" s="5" t="n">
        <x:f>N3</x:f>
        <x:v>88</x:v>
      </x:c>
      <x:c r="M4" s="5" t="n">
        <x:f>MIN(L4+D4,K4)</x:f>
        <x:v>514</x:v>
      </x:c>
      <x:c r="N4" s="5" t="n">
        <x:f>L4+D4-M4</x:f>
        <x:v>92</x:v>
      </x:c>
      <x:c r="O4" s="12" t="n">
        <x:f>M4/(L4+D4)</x:f>
        <x:v>0.8481848184818482</x:v>
      </x:c>
      <x:c r="P4" s="11" t="n">
        <x:f>N4/455</x:f>
        <x:v>0.2021978021978022</x:v>
      </x:c>
      <x:c r="Q4" s="11" t="n">
        <x:f>M4/(F4+G4)</x:f>
        <x:v>2.447619047619048</x:v>
      </x:c>
    </x:row>
    <x:row r="5" ht="22" customHeight="1">
      <x:c r="A5" s="5" t="n">
        <x:f>'Raw Delivery'!A5</x:f>
        <x:v>20250605</x:v>
      </x:c>
      <x:c r="B5" s="10" t="n">
        <x:f>'Raw Delivery'!B5</x:f>
        <x:v>45813</x:v>
      </x:c>
      <x:c r="C5" s="5" t="str">
        <x:f>'Raw Delivery'!C5</x:f>
        <x:v>Baseline</x:v>
      </x:c>
      <x:c r="D5" s="5" t="n">
        <x:f>'Raw Delivery'!D5</x:f>
        <x:v>493</x:v>
      </x:c>
      <x:c r="E5" s="11" t="n">
        <x:f>'Raw Delivery'!E5</x:f>
        <x:v>2.45</x:v>
      </x:c>
      <x:c r="F5" s="11" t="n">
        <x:f>'Raw Labour'!D11*'Raw Labour'!E11</x:f>
        <x:v>210</x:v>
      </x:c>
      <x:c r="G5" s="11" t="n">
        <x:f>'Raw Labour'!G11</x:f>
        <x:v>0</x:v>
      </x:c>
      <x:c r="H5" s="11" t="n">
        <x:f>'Raw Labour'!H11</x:f>
        <x:v>0</x:v>
      </x:c>
      <x:c r="I5" s="11" t="n">
        <x:f>'Raw Labour'!I11</x:f>
        <x:v>0</x:v>
      </x:c>
      <x:c r="J5" s="27" t="n">
        <x:f>'Raw Labour'!K11</x:f>
        <x:v>0.45</x:v>
      </x:c>
      <x:c r="K5" s="5" t="n">
        <x:f>ROUNDDOWN((F5-I5+(G5-H5)*J5)*E5,0)</x:f>
        <x:v>514</x:v>
      </x:c>
      <x:c r="L5" s="5" t="n">
        <x:f>N4</x:f>
        <x:v>92</x:v>
      </x:c>
      <x:c r="M5" s="5" t="n">
        <x:f>MIN(L5+D5,K5)</x:f>
        <x:v>514</x:v>
      </x:c>
      <x:c r="N5" s="5" t="n">
        <x:f>L5+D5-M5</x:f>
        <x:v>71</x:v>
      </x:c>
      <x:c r="O5" s="12" t="n">
        <x:f>M5/(L5+D5)</x:f>
        <x:v>0.8786324786324786</x:v>
      </x:c>
      <x:c r="P5" s="11" t="n">
        <x:f>N5/455</x:f>
        <x:v>0.15604395604395604</x:v>
      </x:c>
      <x:c r="Q5" s="11" t="n">
        <x:f>M5/(F5+G5)</x:f>
        <x:v>2.447619047619048</x:v>
      </x:c>
    </x:row>
    <x:row r="6" ht="22" customHeight="1">
      <x:c r="A6" s="5" t="n">
        <x:f>'Raw Delivery'!A6</x:f>
        <x:v>20250606</x:v>
      </x:c>
      <x:c r="B6" s="10" t="n">
        <x:f>'Raw Delivery'!B6</x:f>
        <x:v>45814</x:v>
      </x:c>
      <x:c r="C6" s="5" t="str">
        <x:f>'Raw Delivery'!C6</x:f>
        <x:v>Baseline</x:v>
      </x:c>
      <x:c r="D6" s="5" t="n">
        <x:f>'Raw Delivery'!D6</x:f>
        <x:v>505</x:v>
      </x:c>
      <x:c r="E6" s="11" t="n">
        <x:f>'Raw Delivery'!E6</x:f>
        <x:v>2.45</x:v>
      </x:c>
      <x:c r="F6" s="11" t="n">
        <x:f>'Raw Labour'!D14*'Raw Labour'!E14</x:f>
        <x:v>210</x:v>
      </x:c>
      <x:c r="G6" s="11" t="n">
        <x:f>'Raw Labour'!G14</x:f>
        <x:v>0</x:v>
      </x:c>
      <x:c r="H6" s="11" t="n">
        <x:f>'Raw Labour'!H14</x:f>
        <x:v>0</x:v>
      </x:c>
      <x:c r="I6" s="11" t="n">
        <x:f>'Raw Labour'!I14</x:f>
        <x:v>0</x:v>
      </x:c>
      <x:c r="J6" s="27" t="n">
        <x:f>'Raw Labour'!K14</x:f>
        <x:v>0.45</x:v>
      </x:c>
      <x:c r="K6" s="5" t="n">
        <x:f>ROUNDDOWN((F6-I6+(G6-H6)*J6)*E6,0)</x:f>
        <x:v>514</x:v>
      </x:c>
      <x:c r="L6" s="5" t="n">
        <x:f>N5</x:f>
        <x:v>71</x:v>
      </x:c>
      <x:c r="M6" s="5" t="n">
        <x:f>MIN(L6+D6,K6)</x:f>
        <x:v>514</x:v>
      </x:c>
      <x:c r="N6" s="5" t="n">
        <x:f>L6+D6-M6</x:f>
        <x:v>62</x:v>
      </x:c>
      <x:c r="O6" s="12" t="n">
        <x:f>M6/(L6+D6)</x:f>
        <x:v>0.8923611111111112</x:v>
      </x:c>
      <x:c r="P6" s="11" t="n">
        <x:f>N6/455</x:f>
        <x:v>0.13626373626373625</x:v>
      </x:c>
      <x:c r="Q6" s="11" t="n">
        <x:f>M6/(F6+G6)</x:f>
        <x:v>2.447619047619048</x:v>
      </x:c>
    </x:row>
    <x:row r="7" ht="22" customHeight="1">
      <x:c r="A7" s="5" t="n">
        <x:f>'Raw Delivery'!A7</x:f>
        <x:v>20250607</x:v>
      </x:c>
      <x:c r="B7" s="10" t="n">
        <x:f>'Raw Delivery'!B7</x:f>
        <x:v>45815</x:v>
      </x:c>
      <x:c r="C7" s="5" t="str">
        <x:f>'Raw Delivery'!C7</x:f>
        <x:v>Baseline</x:v>
      </x:c>
      <x:c r="D7" s="5" t="n">
        <x:f>'Raw Delivery'!D7</x:f>
        <x:v>485</x:v>
      </x:c>
      <x:c r="E7" s="11" t="n">
        <x:f>'Raw Delivery'!E7</x:f>
        <x:v>2.45</x:v>
      </x:c>
      <x:c r="F7" s="11" t="n">
        <x:f>'Raw Labour'!D17*'Raw Labour'!E17</x:f>
        <x:v>210</x:v>
      </x:c>
      <x:c r="G7" s="11" t="n">
        <x:f>'Raw Labour'!G17</x:f>
        <x:v>0</x:v>
      </x:c>
      <x:c r="H7" s="11" t="n">
        <x:f>'Raw Labour'!H17</x:f>
        <x:v>0</x:v>
      </x:c>
      <x:c r="I7" s="11" t="n">
        <x:f>'Raw Labour'!I17</x:f>
        <x:v>0</x:v>
      </x:c>
      <x:c r="J7" s="27" t="n">
        <x:f>'Raw Labour'!K17</x:f>
        <x:v>0.45</x:v>
      </x:c>
      <x:c r="K7" s="5" t="n">
        <x:f>ROUNDDOWN((F7-I7+(G7-H7)*J7)*E7,0)</x:f>
        <x:v>514</x:v>
      </x:c>
      <x:c r="L7" s="5" t="n">
        <x:f>N6</x:f>
        <x:v>62</x:v>
      </x:c>
      <x:c r="M7" s="5" t="n">
        <x:f>MIN(L7+D7,K7)</x:f>
        <x:v>514</x:v>
      </x:c>
      <x:c r="N7" s="5" t="n">
        <x:f>L7+D7-M7</x:f>
        <x:v>33</x:v>
      </x:c>
      <x:c r="O7" s="12" t="n">
        <x:f>M7/(L7+D7)</x:f>
        <x:v>0.9396709323583181</x:v>
      </x:c>
      <x:c r="P7" s="11" t="n">
        <x:f>N7/455</x:f>
        <x:v>0.07252747252747253</x:v>
      </x:c>
      <x:c r="Q7" s="11" t="n">
        <x:f>M7/(F7+G7)</x:f>
        <x:v>2.447619047619048</x:v>
      </x:c>
    </x:row>
    <x:row r="8" ht="22" customHeight="1">
      <x:c r="A8" s="5" t="n">
        <x:f>'Raw Delivery'!A8</x:f>
        <x:v>20250608</x:v>
      </x:c>
      <x:c r="B8" s="10" t="n">
        <x:f>'Raw Delivery'!B8</x:f>
        <x:v>45816</x:v>
      </x:c>
      <x:c r="C8" s="5" t="str">
        <x:f>'Raw Delivery'!C8</x:f>
        <x:v>Baseline</x:v>
      </x:c>
      <x:c r="D8" s="5" t="n">
        <x:f>'Raw Delivery'!D8</x:f>
        <x:v>503</x:v>
      </x:c>
      <x:c r="E8" s="11" t="n">
        <x:f>'Raw Delivery'!E8</x:f>
        <x:v>2.45</x:v>
      </x:c>
      <x:c r="F8" s="11" t="n">
        <x:f>'Raw Labour'!D20*'Raw Labour'!E20</x:f>
        <x:v>210</x:v>
      </x:c>
      <x:c r="G8" s="11" t="n">
        <x:f>'Raw Labour'!G20</x:f>
        <x:v>0</x:v>
      </x:c>
      <x:c r="H8" s="11" t="n">
        <x:f>'Raw Labour'!H20</x:f>
        <x:v>0</x:v>
      </x:c>
      <x:c r="I8" s="11" t="n">
        <x:f>'Raw Labour'!I20</x:f>
        <x:v>0</x:v>
      </x:c>
      <x:c r="J8" s="27" t="n">
        <x:f>'Raw Labour'!K20</x:f>
        <x:v>0.45</x:v>
      </x:c>
      <x:c r="K8" s="5" t="n">
        <x:f>ROUNDDOWN((F8-I8+(G8-H8)*J8)*E8,0)</x:f>
        <x:v>514</x:v>
      </x:c>
      <x:c r="L8" s="5" t="n">
        <x:f>N7</x:f>
        <x:v>33</x:v>
      </x:c>
      <x:c r="M8" s="5" t="n">
        <x:f>MIN(L8+D8,K8)</x:f>
        <x:v>514</x:v>
      </x:c>
      <x:c r="N8" s="5" t="n">
        <x:f>L8+D8-M8</x:f>
        <x:v>22</x:v>
      </x:c>
      <x:c r="O8" s="12" t="n">
        <x:f>M8/(L8+D8)</x:f>
        <x:v>0.9589552238805971</x:v>
      </x:c>
      <x:c r="P8" s="11" t="n">
        <x:f>N8/455</x:f>
        <x:v>0.04835164835164835</x:v>
      </x:c>
      <x:c r="Q8" s="11" t="n">
        <x:f>M8/(F8+G8)</x:f>
        <x:v>2.447619047619048</x:v>
      </x:c>
    </x:row>
    <x:row r="9" ht="22" customHeight="1">
      <x:c r="A9" s="5" t="n">
        <x:f>'Raw Delivery'!A9</x:f>
        <x:v>20250609</x:v>
      </x:c>
      <x:c r="B9" s="10" t="n">
        <x:f>'Raw Delivery'!B9</x:f>
        <x:v>45817</x:v>
      </x:c>
      <x:c r="C9" s="5" t="str">
        <x:f>'Raw Delivery'!C9</x:f>
        <x:v>Disruption</x:v>
      </x:c>
      <x:c r="D9" s="5" t="n">
        <x:f>'Raw Delivery'!D9</x:f>
        <x:v>438</x:v>
      </x:c>
      <x:c r="E9" s="11" t="n">
        <x:f>'Raw Delivery'!E9</x:f>
        <x:v>1.88</x:v>
      </x:c>
      <x:c r="F9" s="11" t="n">
        <x:f>'Raw Labour'!D23*'Raw Labour'!E23</x:f>
        <x:v>210</x:v>
      </x:c>
      <x:c r="G9" s="11" t="n">
        <x:f>'Raw Labour'!G23</x:f>
        <x:v>0</x:v>
      </x:c>
      <x:c r="H9" s="11" t="n">
        <x:f>'Raw Labour'!H23</x:f>
        <x:v>0</x:v>
      </x:c>
      <x:c r="I9" s="11" t="n">
        <x:f>'Raw Labour'!I23</x:f>
        <x:v>0</x:v>
      </x:c>
      <x:c r="J9" s="27" t="n">
        <x:f>'Raw Labour'!K23</x:f>
        <x:v>0.45</x:v>
      </x:c>
      <x:c r="K9" s="5" t="n">
        <x:f>ROUNDDOWN((F9-I9+(G9-H9)*J9)*E9,0)</x:f>
        <x:v>394</x:v>
      </x:c>
      <x:c r="L9" s="5" t="n">
        <x:f>N8</x:f>
        <x:v>22</x:v>
      </x:c>
      <x:c r="M9" s="5" t="n">
        <x:f>MIN(L9+D9,K9)</x:f>
        <x:v>394</x:v>
      </x:c>
      <x:c r="N9" s="5" t="n">
        <x:f>L9+D9-M9</x:f>
        <x:v>66</x:v>
      </x:c>
      <x:c r="O9" s="12" t="n">
        <x:f>M9/(L9+D9)</x:f>
        <x:v>0.8565217391304348</x:v>
      </x:c>
      <x:c r="P9" s="11" t="n">
        <x:f>N9/455</x:f>
        <x:v>0.14505494505494507</x:v>
      </x:c>
      <x:c r="Q9" s="11" t="n">
        <x:f>M9/(F9+G9)</x:f>
        <x:v>1.8761904761904762</x:v>
      </x:c>
    </x:row>
    <x:row r="10" ht="22" customHeight="1">
      <x:c r="A10" s="5" t="n">
        <x:f>'Raw Delivery'!A10</x:f>
        <x:v>20250610</x:v>
      </x:c>
      <x:c r="B10" s="10" t="n">
        <x:f>'Raw Delivery'!B10</x:f>
        <x:v>45818</x:v>
      </x:c>
      <x:c r="C10" s="5" t="str">
        <x:f>'Raw Delivery'!C10</x:f>
        <x:v>Disruption</x:v>
      </x:c>
      <x:c r="D10" s="5" t="n">
        <x:f>'Raw Delivery'!D10</x:f>
        <x:v>458</x:v>
      </x:c>
      <x:c r="E10" s="11" t="n">
        <x:f>'Raw Delivery'!E10</x:f>
        <x:v>1.88</x:v>
      </x:c>
      <x:c r="F10" s="11" t="n">
        <x:f>'Raw Labour'!D26*'Raw Labour'!E26</x:f>
        <x:v>210</x:v>
      </x:c>
      <x:c r="G10" s="11" t="n">
        <x:f>'Raw Labour'!G26</x:f>
        <x:v>0</x:v>
      </x:c>
      <x:c r="H10" s="11" t="n">
        <x:f>'Raw Labour'!H26</x:f>
        <x:v>0</x:v>
      </x:c>
      <x:c r="I10" s="11" t="n">
        <x:f>'Raw Labour'!I26</x:f>
        <x:v>0</x:v>
      </x:c>
      <x:c r="J10" s="27" t="n">
        <x:f>'Raw Labour'!K26</x:f>
        <x:v>0.45</x:v>
      </x:c>
      <x:c r="K10" s="5" t="n">
        <x:f>ROUNDDOWN((F10-I10+(G10-H10)*J10)*E10,0)</x:f>
        <x:v>394</x:v>
      </x:c>
      <x:c r="L10" s="5" t="n">
        <x:f>N9</x:f>
        <x:v>66</x:v>
      </x:c>
      <x:c r="M10" s="5" t="n">
        <x:f>MIN(L10+D10,K10)</x:f>
        <x:v>394</x:v>
      </x:c>
      <x:c r="N10" s="5" t="n">
        <x:f>L10+D10-M10</x:f>
        <x:v>130</x:v>
      </x:c>
      <x:c r="O10" s="12" t="n">
        <x:f>M10/(L10+D10)</x:f>
        <x:v>0.7519083969465649</x:v>
      </x:c>
      <x:c r="P10" s="11" t="n">
        <x:f>N10/455</x:f>
        <x:v>0.2857142857142857</x:v>
      </x:c>
      <x:c r="Q10" s="11" t="n">
        <x:f>M10/(F10+G10)</x:f>
        <x:v>1.8761904761904762</x:v>
      </x:c>
    </x:row>
    <x:row r="11" ht="22" customHeight="1">
      <x:c r="A11" s="5" t="n">
        <x:f>'Raw Delivery'!A11</x:f>
        <x:v>20250611</x:v>
      </x:c>
      <x:c r="B11" s="10" t="n">
        <x:f>'Raw Delivery'!B11</x:f>
        <x:v>45819</x:v>
      </x:c>
      <x:c r="C11" s="5" t="str">
        <x:f>'Raw Delivery'!C11</x:f>
        <x:v>Disruption</x:v>
      </x:c>
      <x:c r="D11" s="5" t="n">
        <x:f>'Raw Delivery'!D11</x:f>
        <x:v>468</x:v>
      </x:c>
      <x:c r="E11" s="11" t="n">
        <x:f>'Raw Delivery'!E11</x:f>
        <x:v>1.88</x:v>
      </x:c>
      <x:c r="F11" s="11" t="n">
        <x:f>'Raw Labour'!D29*'Raw Labour'!E29</x:f>
        <x:v>210</x:v>
      </x:c>
      <x:c r="G11" s="11" t="n">
        <x:f>'Raw Labour'!G29</x:f>
        <x:v>0</x:v>
      </x:c>
      <x:c r="H11" s="11" t="n">
        <x:f>'Raw Labour'!H29</x:f>
        <x:v>0</x:v>
      </x:c>
      <x:c r="I11" s="11" t="n">
        <x:f>'Raw Labour'!I29</x:f>
        <x:v>0</x:v>
      </x:c>
      <x:c r="J11" s="27" t="n">
        <x:f>'Raw Labour'!K29</x:f>
        <x:v>0.45</x:v>
      </x:c>
      <x:c r="K11" s="5" t="n">
        <x:f>ROUNDDOWN((F11-I11+(G11-H11)*J11)*E11,0)</x:f>
        <x:v>394</x:v>
      </x:c>
      <x:c r="L11" s="5" t="n">
        <x:f>N10</x:f>
        <x:v>130</x:v>
      </x:c>
      <x:c r="M11" s="5" t="n">
        <x:f>MIN(L11+D11,K11)</x:f>
        <x:v>394</x:v>
      </x:c>
      <x:c r="N11" s="5" t="n">
        <x:f>L11+D11-M11</x:f>
        <x:v>204</x:v>
      </x:c>
      <x:c r="O11" s="12" t="n">
        <x:f>M11/(L11+D11)</x:f>
        <x:v>0.6588628762541806</x:v>
      </x:c>
      <x:c r="P11" s="11" t="n">
        <x:f>N11/455</x:f>
        <x:v>0.44835164835164837</x:v>
      </x:c>
      <x:c r="Q11" s="11" t="n">
        <x:f>M11/(F11+G11)</x:f>
        <x:v>1.8761904761904762</x:v>
      </x:c>
    </x:row>
    <x:row r="12" ht="22" customHeight="1">
      <x:c r="A12" s="5" t="n">
        <x:f>'Raw Delivery'!A12</x:f>
        <x:v>20250612</x:v>
      </x:c>
      <x:c r="B12" s="10" t="n">
        <x:f>'Raw Delivery'!B12</x:f>
        <x:v>45820</x:v>
      </x:c>
      <x:c r="C12" s="5" t="str">
        <x:f>'Raw Delivery'!C12</x:f>
        <x:v>Disruption</x:v>
      </x:c>
      <x:c r="D12" s="5" t="n">
        <x:f>'Raw Delivery'!D12</x:f>
        <x:v>443</x:v>
      </x:c>
      <x:c r="E12" s="11" t="n">
        <x:f>'Raw Delivery'!E12</x:f>
        <x:v>1.88</x:v>
      </x:c>
      <x:c r="F12" s="11" t="n">
        <x:f>'Raw Labour'!D32*'Raw Labour'!E32</x:f>
        <x:v>210</x:v>
      </x:c>
      <x:c r="G12" s="11" t="n">
        <x:f>'Raw Labour'!G32</x:f>
        <x:v>0</x:v>
      </x:c>
      <x:c r="H12" s="11" t="n">
        <x:f>'Raw Labour'!H32</x:f>
        <x:v>0</x:v>
      </x:c>
      <x:c r="I12" s="11" t="n">
        <x:f>'Raw Labour'!I32</x:f>
        <x:v>0</x:v>
      </x:c>
      <x:c r="J12" s="27" t="n">
        <x:f>'Raw Labour'!K32</x:f>
        <x:v>0.45</x:v>
      </x:c>
      <x:c r="K12" s="5" t="n">
        <x:f>ROUNDDOWN((F12-I12+(G12-H12)*J12)*E12,0)</x:f>
        <x:v>394</x:v>
      </x:c>
      <x:c r="L12" s="5" t="n">
        <x:f>N11</x:f>
        <x:v>204</x:v>
      </x:c>
      <x:c r="M12" s="5" t="n">
        <x:f>MIN(L12+D12,K12)</x:f>
        <x:v>394</x:v>
      </x:c>
      <x:c r="N12" s="5" t="n">
        <x:f>L12+D12-M12</x:f>
        <x:v>253</x:v>
      </x:c>
      <x:c r="O12" s="12" t="n">
        <x:f>M12/(L12+D12)</x:f>
        <x:v>0.6089644513137558</x:v>
      </x:c>
      <x:c r="P12" s="11" t="n">
        <x:f>N12/455</x:f>
        <x:v>0.5560439560439561</x:v>
      </x:c>
      <x:c r="Q12" s="11" t="n">
        <x:f>M12/(F12+G12)</x:f>
        <x:v>1.8761904761904762</x:v>
      </x:c>
    </x:row>
    <x:row r="13" ht="22" customHeight="1">
      <x:c r="A13" s="5" t="n">
        <x:f>'Raw Delivery'!A13</x:f>
        <x:v>20250613</x:v>
      </x:c>
      <x:c r="B13" s="10" t="n">
        <x:f>'Raw Delivery'!B13</x:f>
        <x:v>45821</x:v>
      </x:c>
      <x:c r="C13" s="5" t="str">
        <x:f>'Raw Delivery'!C13</x:f>
        <x:v>Disruption</x:v>
      </x:c>
      <x:c r="D13" s="5" t="n">
        <x:f>'Raw Delivery'!D13</x:f>
        <x:v>455</x:v>
      </x:c>
      <x:c r="E13" s="11" t="n">
        <x:f>'Raw Delivery'!E13</x:f>
        <x:v>1.88</x:v>
      </x:c>
      <x:c r="F13" s="11" t="n">
        <x:f>'Raw Labour'!D35*'Raw Labour'!E35</x:f>
        <x:v>210</x:v>
      </x:c>
      <x:c r="G13" s="11" t="n">
        <x:f>'Raw Labour'!G35</x:f>
        <x:v>0</x:v>
      </x:c>
      <x:c r="H13" s="11" t="n">
        <x:f>'Raw Labour'!H35</x:f>
        <x:v>0</x:v>
      </x:c>
      <x:c r="I13" s="11" t="n">
        <x:f>'Raw Labour'!I35</x:f>
        <x:v>0</x:v>
      </x:c>
      <x:c r="J13" s="27" t="n">
        <x:f>'Raw Labour'!K35</x:f>
        <x:v>0.45</x:v>
      </x:c>
      <x:c r="K13" s="5" t="n">
        <x:f>ROUNDDOWN((F13-I13+(G13-H13)*J13)*E13,0)</x:f>
        <x:v>394</x:v>
      </x:c>
      <x:c r="L13" s="5" t="n">
        <x:f>N12</x:f>
        <x:v>253</x:v>
      </x:c>
      <x:c r="M13" s="5" t="n">
        <x:f>MIN(L13+D13,K13)</x:f>
        <x:v>394</x:v>
      </x:c>
      <x:c r="N13" s="5" t="n">
        <x:f>L13+D13-M13</x:f>
        <x:v>314</x:v>
      </x:c>
      <x:c r="O13" s="12" t="n">
        <x:f>M13/(L13+D13)</x:f>
        <x:v>0.556497175141243</x:v>
      </x:c>
      <x:c r="P13" s="11" t="n">
        <x:f>N13/455</x:f>
        <x:v>0.6901098901098901</x:v>
      </x:c>
      <x:c r="Q13" s="11" t="n">
        <x:f>M13/(F13+G13)</x:f>
        <x:v>1.8761904761904762</x:v>
      </x:c>
    </x:row>
    <x:row r="14" ht="22" customHeight="1">
      <x:c r="A14" s="5" t="n">
        <x:f>'Raw Delivery'!A14</x:f>
        <x:v>20250614</x:v>
      </x:c>
      <x:c r="B14" s="10" t="n">
        <x:f>'Raw Delivery'!B14</x:f>
        <x:v>45822</x:v>
      </x:c>
      <x:c r="C14" s="5" t="str">
        <x:f>'Raw Delivery'!C14</x:f>
        <x:v>Disruption</x:v>
      </x:c>
      <x:c r="D14" s="5" t="n">
        <x:f>'Raw Delivery'!D14</x:f>
        <x:v>435</x:v>
      </x:c>
      <x:c r="E14" s="11" t="n">
        <x:f>'Raw Delivery'!E14</x:f>
        <x:v>1.88</x:v>
      </x:c>
      <x:c r="F14" s="11" t="n">
        <x:f>'Raw Labour'!D38*'Raw Labour'!E38</x:f>
        <x:v>210</x:v>
      </x:c>
      <x:c r="G14" s="11" t="n">
        <x:f>'Raw Labour'!G38</x:f>
        <x:v>0</x:v>
      </x:c>
      <x:c r="H14" s="11" t="n">
        <x:f>'Raw Labour'!H38</x:f>
        <x:v>0</x:v>
      </x:c>
      <x:c r="I14" s="11" t="n">
        <x:f>'Raw Labour'!I38</x:f>
        <x:v>0</x:v>
      </x:c>
      <x:c r="J14" s="27" t="n">
        <x:f>'Raw Labour'!K38</x:f>
        <x:v>0.45</x:v>
      </x:c>
      <x:c r="K14" s="5" t="n">
        <x:f>ROUNDDOWN((F14-I14+(G14-H14)*J14)*E14,0)</x:f>
        <x:v>394</x:v>
      </x:c>
      <x:c r="L14" s="5" t="n">
        <x:f>N13</x:f>
        <x:v>314</x:v>
      </x:c>
      <x:c r="M14" s="5" t="n">
        <x:f>MIN(L14+D14,K14)</x:f>
        <x:v>394</x:v>
      </x:c>
      <x:c r="N14" s="5" t="n">
        <x:f>L14+D14-M14</x:f>
        <x:v>355</x:v>
      </x:c>
      <x:c r="O14" s="12" t="n">
        <x:f>M14/(L14+D14)</x:f>
        <x:v>0.5260347129506008</x:v>
      </x:c>
      <x:c r="P14" s="11" t="n">
        <x:f>N14/455</x:f>
        <x:v>0.7802197802197802</x:v>
      </x:c>
      <x:c r="Q14" s="11" t="n">
        <x:f>M14/(F14+G14)</x:f>
        <x:v>1.8761904761904762</x:v>
      </x:c>
    </x:row>
    <x:row r="15" ht="22" customHeight="1">
      <x:c r="A15" s="5" t="n">
        <x:f>'Raw Delivery'!A15</x:f>
        <x:v>20250615</x:v>
      </x:c>
      <x:c r="B15" s="10" t="n">
        <x:f>'Raw Delivery'!B15</x:f>
        <x:v>45823</x:v>
      </x:c>
      <x:c r="C15" s="5" t="str">
        <x:f>'Raw Delivery'!C15</x:f>
        <x:v>Disruption</x:v>
      </x:c>
      <x:c r="D15" s="5" t="n">
        <x:f>'Raw Delivery'!D15</x:f>
        <x:v>453</x:v>
      </x:c>
      <x:c r="E15" s="11" t="n">
        <x:f>'Raw Delivery'!E15</x:f>
        <x:v>1.88</x:v>
      </x:c>
      <x:c r="F15" s="11" t="n">
        <x:f>'Raw Labour'!D41*'Raw Labour'!E41</x:f>
        <x:v>210</x:v>
      </x:c>
      <x:c r="G15" s="11" t="n">
        <x:f>'Raw Labour'!G41</x:f>
        <x:v>0</x:v>
      </x:c>
      <x:c r="H15" s="11" t="n">
        <x:f>'Raw Labour'!H41</x:f>
        <x:v>0</x:v>
      </x:c>
      <x:c r="I15" s="11" t="n">
        <x:f>'Raw Labour'!I41</x:f>
        <x:v>0</x:v>
      </x:c>
      <x:c r="J15" s="27" t="n">
        <x:f>'Raw Labour'!K41</x:f>
        <x:v>0.45</x:v>
      </x:c>
      <x:c r="K15" s="5" t="n">
        <x:f>ROUNDDOWN((F15-I15+(G15-H15)*J15)*E15,0)</x:f>
        <x:v>394</x:v>
      </x:c>
      <x:c r="L15" s="5" t="n">
        <x:f>N14</x:f>
        <x:v>355</x:v>
      </x:c>
      <x:c r="M15" s="5" t="n">
        <x:f>MIN(L15+D15,K15)</x:f>
        <x:v>394</x:v>
      </x:c>
      <x:c r="N15" s="5" t="n">
        <x:f>L15+D15-M15</x:f>
        <x:v>414</x:v>
      </x:c>
      <x:c r="O15" s="12" t="n">
        <x:f>M15/(L15+D15)</x:f>
        <x:v>0.4876237623762376</x:v>
      </x:c>
      <x:c r="P15" s="11" t="n">
        <x:f>N15/455</x:f>
        <x:v>0.9098901098901099</x:v>
      </x:c>
      <x:c r="Q15" s="11" t="n">
        <x:f>M15/(F15+G15)</x:f>
        <x:v>1.8761904761904762</x:v>
      </x:c>
    </x:row>
    <x:row r="16" ht="22" customHeight="1">
      <x:c r="A16" s="5" t="n">
        <x:f>'Raw Delivery'!A16</x:f>
        <x:v>20250616</x:v>
      </x:c>
      <x:c r="B16" s="10" t="n">
        <x:f>'Raw Delivery'!B16</x:f>
        <x:v>45824</x:v>
      </x:c>
      <x:c r="C16" s="5" t="str">
        <x:f>'Raw Delivery'!C16</x:f>
        <x:v>Disruption</x:v>
      </x:c>
      <x:c r="D16" s="5" t="n">
        <x:f>'Raw Delivery'!D16</x:f>
        <x:v>438</x:v>
      </x:c>
      <x:c r="E16" s="11" t="n">
        <x:f>'Raw Delivery'!E16</x:f>
        <x:v>1.88</x:v>
      </x:c>
      <x:c r="F16" s="11" t="n">
        <x:f>'Raw Labour'!D44*'Raw Labour'!E44</x:f>
        <x:v>210</x:v>
      </x:c>
      <x:c r="G16" s="11" t="n">
        <x:f>'Raw Labour'!G44</x:f>
        <x:v>0</x:v>
      </x:c>
      <x:c r="H16" s="11" t="n">
        <x:f>'Raw Labour'!H44</x:f>
        <x:v>0</x:v>
      </x:c>
      <x:c r="I16" s="11" t="n">
        <x:f>'Raw Labour'!I44</x:f>
        <x:v>0</x:v>
      </x:c>
      <x:c r="J16" s="27" t="n">
        <x:f>'Raw Labour'!K44</x:f>
        <x:v>0.45</x:v>
      </x:c>
      <x:c r="K16" s="5" t="n">
        <x:f>ROUNDDOWN((F16-I16+(G16-H16)*J16)*E16,0)</x:f>
        <x:v>394</x:v>
      </x:c>
      <x:c r="L16" s="5" t="n">
        <x:f>N15</x:f>
        <x:v>414</x:v>
      </x:c>
      <x:c r="M16" s="5" t="n">
        <x:f>MIN(L16+D16,K16)</x:f>
        <x:v>394</x:v>
      </x:c>
      <x:c r="N16" s="5" t="n">
        <x:f>L16+D16-M16</x:f>
        <x:v>458</x:v>
      </x:c>
      <x:c r="O16" s="12" t="n">
        <x:f>M16/(L16+D16)</x:f>
        <x:v>0.4624413145539906</x:v>
      </x:c>
      <x:c r="P16" s="11" t="n">
        <x:f>N16/455</x:f>
        <x:v>1.0065934065934066</x:v>
      </x:c>
      <x:c r="Q16" s="11" t="n">
        <x:f>M16/(F16+G16)</x:f>
        <x:v>1.8761904761904762</x:v>
      </x:c>
    </x:row>
    <x:row r="17" ht="22" customHeight="1">
      <x:c r="A17" s="5" t="n">
        <x:f>'Raw Delivery'!A17</x:f>
        <x:v>20250617</x:v>
      </x:c>
      <x:c r="B17" s="10" t="n">
        <x:f>'Raw Delivery'!B17</x:f>
        <x:v>45825</x:v>
      </x:c>
      <x:c r="C17" s="5" t="str">
        <x:f>'Raw Delivery'!C17</x:f>
        <x:v>Disruption</x:v>
      </x:c>
      <x:c r="D17" s="5" t="n">
        <x:f>'Raw Delivery'!D17</x:f>
        <x:v>458</x:v>
      </x:c>
      <x:c r="E17" s="11" t="n">
        <x:f>'Raw Delivery'!E17</x:f>
        <x:v>1.88</x:v>
      </x:c>
      <x:c r="F17" s="11" t="n">
        <x:f>'Raw Labour'!D47*'Raw Labour'!E47</x:f>
        <x:v>210</x:v>
      </x:c>
      <x:c r="G17" s="11" t="n">
        <x:f>'Raw Labour'!G47</x:f>
        <x:v>0</x:v>
      </x:c>
      <x:c r="H17" s="11" t="n">
        <x:f>'Raw Labour'!H47</x:f>
        <x:v>0</x:v>
      </x:c>
      <x:c r="I17" s="11" t="n">
        <x:f>'Raw Labour'!I47</x:f>
        <x:v>0</x:v>
      </x:c>
      <x:c r="J17" s="27" t="n">
        <x:f>'Raw Labour'!K47</x:f>
        <x:v>0.45</x:v>
      </x:c>
      <x:c r="K17" s="5" t="n">
        <x:f>ROUNDDOWN((F17-I17+(G17-H17)*J17)*E17,0)</x:f>
        <x:v>394</x:v>
      </x:c>
      <x:c r="L17" s="5" t="n">
        <x:f>N16</x:f>
        <x:v>458</x:v>
      </x:c>
      <x:c r="M17" s="5" t="n">
        <x:f>MIN(L17+D17,K17)</x:f>
        <x:v>394</x:v>
      </x:c>
      <x:c r="N17" s="5" t="n">
        <x:f>L17+D17-M17</x:f>
        <x:v>522</x:v>
      </x:c>
      <x:c r="O17" s="12" t="n">
        <x:f>M17/(L17+D17)</x:f>
        <x:v>0.43013100436681223</x:v>
      </x:c>
      <x:c r="P17" s="11" t="n">
        <x:f>N17/455</x:f>
        <x:v>1.1472527472527472</x:v>
      </x:c>
      <x:c r="Q17" s="11" t="n">
        <x:f>M17/(F17+G17)</x:f>
        <x:v>1.8761904761904762</x:v>
      </x:c>
    </x:row>
    <x:row r="18" ht="22" customHeight="1">
      <x:c r="A18" s="5" t="n">
        <x:f>'Raw Delivery'!A18</x:f>
        <x:v>20250618</x:v>
      </x:c>
      <x:c r="B18" s="10" t="n">
        <x:f>'Raw Delivery'!B18</x:f>
        <x:v>45826</x:v>
      </x:c>
      <x:c r="C18" s="5" t="str">
        <x:f>'Raw Delivery'!C18</x:f>
        <x:v>Disruption</x:v>
      </x:c>
      <x:c r="D18" s="5" t="n">
        <x:f>'Raw Delivery'!D18</x:f>
        <x:v>468</x:v>
      </x:c>
      <x:c r="E18" s="11" t="n">
        <x:f>'Raw Delivery'!E18</x:f>
        <x:v>1.88</x:v>
      </x:c>
      <x:c r="F18" s="11" t="n">
        <x:f>'Raw Labour'!D50*'Raw Labour'!E50</x:f>
        <x:v>210</x:v>
      </x:c>
      <x:c r="G18" s="11" t="n">
        <x:f>'Raw Labour'!G50</x:f>
        <x:v>0</x:v>
      </x:c>
      <x:c r="H18" s="11" t="n">
        <x:f>'Raw Labour'!H50</x:f>
        <x:v>0</x:v>
      </x:c>
      <x:c r="I18" s="11" t="n">
        <x:f>'Raw Labour'!I50</x:f>
        <x:v>0</x:v>
      </x:c>
      <x:c r="J18" s="27" t="n">
        <x:f>'Raw Labour'!K50</x:f>
        <x:v>0.45</x:v>
      </x:c>
      <x:c r="K18" s="5" t="n">
        <x:f>ROUNDDOWN((F18-I18+(G18-H18)*J18)*E18,0)</x:f>
        <x:v>394</x:v>
      </x:c>
      <x:c r="L18" s="5" t="n">
        <x:f>N17</x:f>
        <x:v>522</x:v>
      </x:c>
      <x:c r="M18" s="5" t="n">
        <x:f>MIN(L18+D18,K18)</x:f>
        <x:v>394</x:v>
      </x:c>
      <x:c r="N18" s="5" t="n">
        <x:f>L18+D18-M18</x:f>
        <x:v>596</x:v>
      </x:c>
      <x:c r="O18" s="12" t="n">
        <x:f>M18/(L18+D18)</x:f>
        <x:v>0.397979797979798</x:v>
      </x:c>
      <x:c r="P18" s="11" t="n">
        <x:f>N18/455</x:f>
        <x:v>1.30989010989011</x:v>
      </x:c>
      <x:c r="Q18" s="11" t="n">
        <x:f>M18/(F18+G18)</x:f>
        <x:v>1.8761904761904762</x:v>
      </x:c>
    </x:row>
    <x:row r="19" ht="22" customHeight="1">
      <x:c r="A19" s="5" t="n">
        <x:f>'Raw Delivery'!A19</x:f>
        <x:v>20250619</x:v>
      </x:c>
      <x:c r="B19" s="10" t="n">
        <x:f>'Raw Delivery'!B19</x:f>
        <x:v>45827</x:v>
      </x:c>
      <x:c r="C19" s="5" t="str">
        <x:f>'Raw Delivery'!C19</x:f>
        <x:v>Disruption</x:v>
      </x:c>
      <x:c r="D19" s="5" t="n">
        <x:f>'Raw Delivery'!D19</x:f>
        <x:v>443</x:v>
      </x:c>
      <x:c r="E19" s="11" t="n">
        <x:f>'Raw Delivery'!E19</x:f>
        <x:v>1.88</x:v>
      </x:c>
      <x:c r="F19" s="11" t="n">
        <x:f>'Raw Labour'!D53*'Raw Labour'!E53</x:f>
        <x:v>210</x:v>
      </x:c>
      <x:c r="G19" s="11" t="n">
        <x:f>'Raw Labour'!G53</x:f>
        <x:v>0</x:v>
      </x:c>
      <x:c r="H19" s="11" t="n">
        <x:f>'Raw Labour'!H53</x:f>
        <x:v>0</x:v>
      </x:c>
      <x:c r="I19" s="11" t="n">
        <x:f>'Raw Labour'!I53</x:f>
        <x:v>0</x:v>
      </x:c>
      <x:c r="J19" s="27" t="n">
        <x:f>'Raw Labour'!K53</x:f>
        <x:v>0.45</x:v>
      </x:c>
      <x:c r="K19" s="5" t="n">
        <x:f>ROUNDDOWN((F19-I19+(G19-H19)*J19)*E19,0)</x:f>
        <x:v>394</x:v>
      </x:c>
      <x:c r="L19" s="5" t="n">
        <x:f>N18</x:f>
        <x:v>596</x:v>
      </x:c>
      <x:c r="M19" s="5" t="n">
        <x:f>MIN(L19+D19,K19)</x:f>
        <x:v>394</x:v>
      </x:c>
      <x:c r="N19" s="5" t="n">
        <x:f>L19+D19-M19</x:f>
        <x:v>645</x:v>
      </x:c>
      <x:c r="O19" s="12" t="n">
        <x:f>M19/(L19+D19)</x:f>
        <x:v>0.37921077959576516</x:v>
      </x:c>
      <x:c r="P19" s="11" t="n">
        <x:f>N19/455</x:f>
        <x:v>1.4175824175824177</x:v>
      </x:c>
      <x:c r="Q19" s="11" t="n">
        <x:f>M19/(F19+G19)</x:f>
        <x:v>1.8761904761904762</x:v>
      </x:c>
    </x:row>
    <x:row r="20" ht="22" customHeight="1">
      <x:c r="A20" s="5" t="n">
        <x:f>'Raw Delivery'!A20</x:f>
        <x:v>20250620</x:v>
      </x:c>
      <x:c r="B20" s="10" t="n">
        <x:f>'Raw Delivery'!B20</x:f>
        <x:v>45828</x:v>
      </x:c>
      <x:c r="C20" s="5" t="str">
        <x:f>'Raw Delivery'!C20</x:f>
        <x:v>Disruption</x:v>
      </x:c>
      <x:c r="D20" s="5" t="n">
        <x:f>'Raw Delivery'!D20</x:f>
        <x:v>455</x:v>
      </x:c>
      <x:c r="E20" s="11" t="n">
        <x:f>'Raw Delivery'!E20</x:f>
        <x:v>1.88</x:v>
      </x:c>
      <x:c r="F20" s="11" t="n">
        <x:f>'Raw Labour'!D56*'Raw Labour'!E56</x:f>
        <x:v>210</x:v>
      </x:c>
      <x:c r="G20" s="11" t="n">
        <x:f>'Raw Labour'!G56</x:f>
        <x:v>0</x:v>
      </x:c>
      <x:c r="H20" s="11" t="n">
        <x:f>'Raw Labour'!H56</x:f>
        <x:v>0</x:v>
      </x:c>
      <x:c r="I20" s="11" t="n">
        <x:f>'Raw Labour'!I56</x:f>
        <x:v>0</x:v>
      </x:c>
      <x:c r="J20" s="27" t="n">
        <x:f>'Raw Labour'!K56</x:f>
        <x:v>0.45</x:v>
      </x:c>
      <x:c r="K20" s="5" t="n">
        <x:f>ROUNDDOWN((F20-I20+(G20-H20)*J20)*E20,0)</x:f>
        <x:v>394</x:v>
      </x:c>
      <x:c r="L20" s="5" t="n">
        <x:f>N19</x:f>
        <x:v>645</x:v>
      </x:c>
      <x:c r="M20" s="5" t="n">
        <x:f>MIN(L20+D20,K20)</x:f>
        <x:v>394</x:v>
      </x:c>
      <x:c r="N20" s="5" t="n">
        <x:f>L20+D20-M20</x:f>
        <x:v>706</x:v>
      </x:c>
      <x:c r="O20" s="12" t="n">
        <x:f>M20/(L20+D20)</x:f>
        <x:v>0.35818181818181816</x:v>
      </x:c>
      <x:c r="P20" s="11" t="n">
        <x:f>N20/455</x:f>
        <x:v>1.5516483516483517</x:v>
      </x:c>
      <x:c r="Q20" s="11" t="n">
        <x:f>M20/(F20+G20)</x:f>
        <x:v>1.8761904761904762</x:v>
      </x:c>
    </x:row>
    <x:row r="21" ht="22" customHeight="1">
      <x:c r="A21" s="5" t="n">
        <x:f>'Raw Delivery'!A21</x:f>
        <x:v>20250621</x:v>
      </x:c>
      <x:c r="B21" s="10" t="n">
        <x:f>'Raw Delivery'!B21</x:f>
        <x:v>45829</x:v>
      </x:c>
      <x:c r="C21" s="5" t="str">
        <x:f>'Raw Delivery'!C21</x:f>
        <x:v>Disruption</x:v>
      </x:c>
      <x:c r="D21" s="5" t="n">
        <x:f>'Raw Delivery'!D21</x:f>
        <x:v>435</x:v>
      </x:c>
      <x:c r="E21" s="11" t="n">
        <x:f>'Raw Delivery'!E21</x:f>
        <x:v>1.88</x:v>
      </x:c>
      <x:c r="F21" s="11" t="n">
        <x:f>'Raw Labour'!D59*'Raw Labour'!E59</x:f>
        <x:v>210</x:v>
      </x:c>
      <x:c r="G21" s="11" t="n">
        <x:f>'Raw Labour'!G59</x:f>
        <x:v>0</x:v>
      </x:c>
      <x:c r="H21" s="11" t="n">
        <x:f>'Raw Labour'!H59</x:f>
        <x:v>0</x:v>
      </x:c>
      <x:c r="I21" s="11" t="n">
        <x:f>'Raw Labour'!I59</x:f>
        <x:v>0</x:v>
      </x:c>
      <x:c r="J21" s="27" t="n">
        <x:f>'Raw Labour'!K59</x:f>
        <x:v>0.45</x:v>
      </x:c>
      <x:c r="K21" s="5" t="n">
        <x:f>ROUNDDOWN((F21-I21+(G21-H21)*J21)*E21,0)</x:f>
        <x:v>394</x:v>
      </x:c>
      <x:c r="L21" s="5" t="n">
        <x:f>N20</x:f>
        <x:v>706</x:v>
      </x:c>
      <x:c r="M21" s="5" t="n">
        <x:f>MIN(L21+D21,K21)</x:f>
        <x:v>394</x:v>
      </x:c>
      <x:c r="N21" s="5" t="n">
        <x:f>L21+D21-M21</x:f>
        <x:v>747</x:v>
      </x:c>
      <x:c r="O21" s="12" t="n">
        <x:f>M21/(L21+D21)</x:f>
        <x:v>0.3453111305872042</x:v>
      </x:c>
      <x:c r="P21" s="11" t="n">
        <x:f>N21/455</x:f>
        <x:v>1.6417582417582417</x:v>
      </x:c>
      <x:c r="Q21" s="11" t="n">
        <x:f>M21/(F21+G21)</x:f>
        <x:v>1.8761904761904762</x:v>
      </x:c>
    </x:row>
    <x:row r="22" ht="22" customHeight="1">
      <x:c r="A22" s="5" t="n">
        <x:f>'Raw Delivery'!A22</x:f>
        <x:v>20250622</x:v>
      </x:c>
      <x:c r="B22" s="10" t="n">
        <x:f>'Raw Delivery'!B22</x:f>
        <x:v>45830</x:v>
      </x:c>
      <x:c r="C22" s="5" t="str">
        <x:f>'Raw Delivery'!C22</x:f>
        <x:v>Disruption</x:v>
      </x:c>
      <x:c r="D22" s="5" t="n">
        <x:f>'Raw Delivery'!D22</x:f>
        <x:v>453</x:v>
      </x:c>
      <x:c r="E22" s="11" t="n">
        <x:f>'Raw Delivery'!E22</x:f>
        <x:v>1.88</x:v>
      </x:c>
      <x:c r="F22" s="11" t="n">
        <x:f>'Raw Labour'!D62*'Raw Labour'!E62</x:f>
        <x:v>210</x:v>
      </x:c>
      <x:c r="G22" s="11" t="n">
        <x:f>'Raw Labour'!G62</x:f>
        <x:v>0</x:v>
      </x:c>
      <x:c r="H22" s="11" t="n">
        <x:f>'Raw Labour'!H62</x:f>
        <x:v>0</x:v>
      </x:c>
      <x:c r="I22" s="11" t="n">
        <x:f>'Raw Labour'!I62</x:f>
        <x:v>0</x:v>
      </x:c>
      <x:c r="J22" s="27" t="n">
        <x:f>'Raw Labour'!K62</x:f>
        <x:v>0.45</x:v>
      </x:c>
      <x:c r="K22" s="5" t="n">
        <x:f>ROUNDDOWN((F22-I22+(G22-H22)*J22)*E22,0)</x:f>
        <x:v>394</x:v>
      </x:c>
      <x:c r="L22" s="5" t="n">
        <x:f>N21</x:f>
        <x:v>747</x:v>
      </x:c>
      <x:c r="M22" s="5" t="n">
        <x:f>MIN(L22+D22,K22)</x:f>
        <x:v>394</x:v>
      </x:c>
      <x:c r="N22" s="5" t="n">
        <x:f>L22+D22-M22</x:f>
        <x:v>806</x:v>
      </x:c>
      <x:c r="O22" s="12" t="n">
        <x:f>M22/(L22+D22)</x:f>
        <x:v>0.3283333333333333</x:v>
      </x:c>
      <x:c r="P22" s="11" t="n">
        <x:f>N22/455</x:f>
        <x:v>1.7714285714285714</x:v>
      </x:c>
      <x:c r="Q22" s="11" t="n">
        <x:f>M22/(F22+G22)</x:f>
        <x:v>1.8761904761904762</x:v>
      </x:c>
    </x:row>
    <x:row r="23" ht="22" customHeight="1">
      <x:c r="A23" s="5" t="n">
        <x:f>'Raw Delivery'!A23</x:f>
        <x:v>20250623</x:v>
      </x:c>
      <x:c r="B23" s="10" t="n">
        <x:f>'Raw Delivery'!B23</x:f>
        <x:v>45831</x:v>
      </x:c>
      <x:c r="C23" s="5" t="str">
        <x:f>'Raw Delivery'!C23</x:f>
        <x:v>Reassignment</x:v>
      </x:c>
      <x:c r="D23" s="5" t="n">
        <x:f>'Raw Delivery'!D23</x:f>
        <x:v>443</x:v>
      </x:c>
      <x:c r="E23" s="11" t="n">
        <x:f>'Raw Delivery'!E23</x:f>
        <x:v>2.06</x:v>
      </x:c>
      <x:c r="F23" s="11" t="n">
        <x:f>'Raw Labour'!D65*'Raw Labour'!E65</x:f>
        <x:v>210</x:v>
      </x:c>
      <x:c r="G23" s="11" t="n">
        <x:f>'Raw Labour'!G65</x:f>
        <x:v>15</x:v>
      </x:c>
      <x:c r="H23" s="11" t="n">
        <x:f>'Raw Labour'!H65</x:f>
        <x:v>6</x:v>
      </x:c>
      <x:c r="I23" s="11" t="n">
        <x:f>'Raw Labour'!I65</x:f>
        <x:v>0.8</x:v>
      </x:c>
      <x:c r="J23" s="27" t="n">
        <x:f>'Raw Labour'!K65</x:f>
        <x:v>0.45</x:v>
      </x:c>
      <x:c r="K23" s="5" t="n">
        <x:f>ROUNDDOWN((F23-I23+(G23-H23)*J23)*E23,0)</x:f>
        <x:v>439</x:v>
      </x:c>
      <x:c r="L23" s="5" t="n">
        <x:f>N22</x:f>
        <x:v>806</x:v>
      </x:c>
      <x:c r="M23" s="5" t="n">
        <x:f>MIN(L23+D23,K23)</x:f>
        <x:v>439</x:v>
      </x:c>
      <x:c r="N23" s="5" t="n">
        <x:f>L23+D23-M23</x:f>
        <x:v>810</x:v>
      </x:c>
      <x:c r="O23" s="12" t="n">
        <x:f>M23/(L23+D23)</x:f>
        <x:v>0.3514811849479584</x:v>
      </x:c>
      <x:c r="P23" s="11" t="n">
        <x:f>N23/455</x:f>
        <x:v>1.7802197802197801</x:v>
      </x:c>
      <x:c r="Q23" s="11" t="n">
        <x:f>M23/(F23+G23)</x:f>
        <x:v>1.951111111111111</x:v>
      </x:c>
    </x:row>
    <x:row r="24" ht="22" customHeight="1">
      <x:c r="A24" s="5" t="n">
        <x:f>'Raw Delivery'!A24</x:f>
        <x:v>20250624</x:v>
      </x:c>
      <x:c r="B24" s="10" t="n">
        <x:f>'Raw Delivery'!B24</x:f>
        <x:v>45832</x:v>
      </x:c>
      <x:c r="C24" s="5" t="str">
        <x:f>'Raw Delivery'!C24</x:f>
        <x:v>Reassignment</x:v>
      </x:c>
      <x:c r="D24" s="5" t="n">
        <x:f>'Raw Delivery'!D24</x:f>
        <x:v>463</x:v>
      </x:c>
      <x:c r="E24" s="11" t="n">
        <x:f>'Raw Delivery'!E24</x:f>
        <x:v>2.06</x:v>
      </x:c>
      <x:c r="F24" s="11" t="n">
        <x:f>'Raw Labour'!D68*'Raw Labour'!E68</x:f>
        <x:v>210</x:v>
      </x:c>
      <x:c r="G24" s="11" t="n">
        <x:f>'Raw Labour'!G68</x:f>
        <x:v>15</x:v>
      </x:c>
      <x:c r="H24" s="11" t="n">
        <x:f>'Raw Labour'!H68</x:f>
        <x:v>6</x:v>
      </x:c>
      <x:c r="I24" s="11" t="n">
        <x:f>'Raw Labour'!I68</x:f>
        <x:v>0.8</x:v>
      </x:c>
      <x:c r="J24" s="27" t="n">
        <x:f>'Raw Labour'!K68</x:f>
        <x:v>0.45</x:v>
      </x:c>
      <x:c r="K24" s="5" t="n">
        <x:f>ROUNDDOWN((F24-I24+(G24-H24)*J24)*E24,0)</x:f>
        <x:v>439</x:v>
      </x:c>
      <x:c r="L24" s="5" t="n">
        <x:f>N23</x:f>
        <x:v>810</x:v>
      </x:c>
      <x:c r="M24" s="5" t="n">
        <x:f>MIN(L24+D24,K24)</x:f>
        <x:v>439</x:v>
      </x:c>
      <x:c r="N24" s="5" t="n">
        <x:f>L24+D24-M24</x:f>
        <x:v>834</x:v>
      </x:c>
      <x:c r="O24" s="12" t="n">
        <x:f>M24/(L24+D24)</x:f>
        <x:v>0.3448546739984289</x:v>
      </x:c>
      <x:c r="P24" s="11" t="n">
        <x:f>N24/455</x:f>
        <x:v>1.832967032967033</x:v>
      </x:c>
      <x:c r="Q24" s="11" t="n">
        <x:f>M24/(F24+G24)</x:f>
        <x:v>1.951111111111111</x:v>
      </x:c>
    </x:row>
    <x:row r="25" ht="22" customHeight="1">
      <x:c r="A25" s="5" t="n">
        <x:f>'Raw Delivery'!A25</x:f>
        <x:v>20250625</x:v>
      </x:c>
      <x:c r="B25" s="10" t="n">
        <x:f>'Raw Delivery'!B25</x:f>
        <x:v>45833</x:v>
      </x:c>
      <x:c r="C25" s="5" t="str">
        <x:f>'Raw Delivery'!C25</x:f>
        <x:v>Reassignment</x:v>
      </x:c>
      <x:c r="D25" s="5" t="n">
        <x:f>'Raw Delivery'!D25</x:f>
        <x:v>473</x:v>
      </x:c>
      <x:c r="E25" s="11" t="n">
        <x:f>'Raw Delivery'!E25</x:f>
        <x:v>2.06</x:v>
      </x:c>
      <x:c r="F25" s="11" t="n">
        <x:f>'Raw Labour'!D71*'Raw Labour'!E71</x:f>
        <x:v>210</x:v>
      </x:c>
      <x:c r="G25" s="11" t="n">
        <x:f>'Raw Labour'!G71</x:f>
        <x:v>15</x:v>
      </x:c>
      <x:c r="H25" s="11" t="n">
        <x:f>'Raw Labour'!H71</x:f>
        <x:v>6</x:v>
      </x:c>
      <x:c r="I25" s="11" t="n">
        <x:f>'Raw Labour'!I71</x:f>
        <x:v>0.8</x:v>
      </x:c>
      <x:c r="J25" s="27" t="n">
        <x:f>'Raw Labour'!K71</x:f>
        <x:v>0.45</x:v>
      </x:c>
      <x:c r="K25" s="5" t="n">
        <x:f>ROUNDDOWN((F25-I25+(G25-H25)*J25)*E25,0)</x:f>
        <x:v>439</x:v>
      </x:c>
      <x:c r="L25" s="5" t="n">
        <x:f>N24</x:f>
        <x:v>834</x:v>
      </x:c>
      <x:c r="M25" s="5" t="n">
        <x:f>MIN(L25+D25,K25)</x:f>
        <x:v>439</x:v>
      </x:c>
      <x:c r="N25" s="5" t="n">
        <x:f>L25+D25-M25</x:f>
        <x:v>868</x:v>
      </x:c>
      <x:c r="O25" s="12" t="n">
        <x:f>M25/(L25+D25)</x:f>
        <x:v>0.33588370313695487</x:v>
      </x:c>
      <x:c r="P25" s="11" t="n">
        <x:f>N25/455</x:f>
        <x:v>1.9076923076923078</x:v>
      </x:c>
      <x:c r="Q25" s="11" t="n">
        <x:f>M25/(F25+G25)</x:f>
        <x:v>1.951111111111111</x:v>
      </x:c>
    </x:row>
    <x:row r="26" ht="22" customHeight="1">
      <x:c r="A26" s="5" t="n">
        <x:f>'Raw Delivery'!A26</x:f>
        <x:v>20250626</x:v>
      </x:c>
      <x:c r="B26" s="10" t="n">
        <x:f>'Raw Delivery'!B26</x:f>
        <x:v>45834</x:v>
      </x:c>
      <x:c r="C26" s="5" t="str">
        <x:f>'Raw Delivery'!C26</x:f>
        <x:v>Reassignment</x:v>
      </x:c>
      <x:c r="D26" s="5" t="n">
        <x:f>'Raw Delivery'!D26</x:f>
        <x:v>448</x:v>
      </x:c>
      <x:c r="E26" s="11" t="n">
        <x:f>'Raw Delivery'!E26</x:f>
        <x:v>2.06</x:v>
      </x:c>
      <x:c r="F26" s="11" t="n">
        <x:f>'Raw Labour'!D74*'Raw Labour'!E74</x:f>
        <x:v>210</x:v>
      </x:c>
      <x:c r="G26" s="11" t="n">
        <x:f>'Raw Labour'!G74</x:f>
        <x:v>30</x:v>
      </x:c>
      <x:c r="H26" s="11" t="n">
        <x:f>'Raw Labour'!H74</x:f>
        <x:v>0</x:v>
      </x:c>
      <x:c r="I26" s="11" t="n">
        <x:f>'Raw Labour'!I74</x:f>
        <x:v>1.6</x:v>
      </x:c>
      <x:c r="J26" s="27" t="n">
        <x:f>'Raw Labour'!K74</x:f>
        <x:v>0.62</x:v>
      </x:c>
      <x:c r="K26" s="5" t="n">
        <x:f>ROUNDDOWN((F26-I26+(G26-H26)*J26)*E26,0)</x:f>
        <x:v>467</x:v>
      </x:c>
      <x:c r="L26" s="5" t="n">
        <x:f>N25</x:f>
        <x:v>868</x:v>
      </x:c>
      <x:c r="M26" s="5" t="n">
        <x:f>MIN(L26+D26,K26)</x:f>
        <x:v>467</x:v>
      </x:c>
      <x:c r="N26" s="5" t="n">
        <x:f>L26+D26-M26</x:f>
        <x:v>849</x:v>
      </x:c>
      <x:c r="O26" s="12" t="n">
        <x:f>M26/(L26+D26)</x:f>
        <x:v>0.3548632218844985</x:v>
      </x:c>
      <x:c r="P26" s="11" t="n">
        <x:f>N26/455</x:f>
        <x:v>1.865934065934066</x:v>
      </x:c>
      <x:c r="Q26" s="11" t="n">
        <x:f>M26/(F26+G26)</x:f>
        <x:v>1.9458333333333333</x:v>
      </x:c>
    </x:row>
    <x:row r="27" ht="22" customHeight="1">
      <x:c r="A27" s="5" t="n">
        <x:f>'Raw Delivery'!A27</x:f>
        <x:v>20250627</x:v>
      </x:c>
      <x:c r="B27" s="10" t="n">
        <x:f>'Raw Delivery'!B27</x:f>
        <x:v>45835</x:v>
      </x:c>
      <x:c r="C27" s="5" t="str">
        <x:f>'Raw Delivery'!C27</x:f>
        <x:v>Reassignment</x:v>
      </x:c>
      <x:c r="D27" s="5" t="n">
        <x:f>'Raw Delivery'!D27</x:f>
        <x:v>460</x:v>
      </x:c>
      <x:c r="E27" s="11" t="n">
        <x:f>'Raw Delivery'!E27</x:f>
        <x:v>2.06</x:v>
      </x:c>
      <x:c r="F27" s="11" t="n">
        <x:f>'Raw Labour'!D77*'Raw Labour'!E77</x:f>
        <x:v>210</x:v>
      </x:c>
      <x:c r="G27" s="11" t="n">
        <x:f>'Raw Labour'!G77</x:f>
        <x:v>30</x:v>
      </x:c>
      <x:c r="H27" s="11" t="n">
        <x:f>'Raw Labour'!H77</x:f>
        <x:v>0</x:v>
      </x:c>
      <x:c r="I27" s="11" t="n">
        <x:f>'Raw Labour'!I77</x:f>
        <x:v>1.6</x:v>
      </x:c>
      <x:c r="J27" s="27" t="n">
        <x:f>'Raw Labour'!K77</x:f>
        <x:v>0.62</x:v>
      </x:c>
      <x:c r="K27" s="5" t="n">
        <x:f>ROUNDDOWN((F27-I27+(G27-H27)*J27)*E27,0)</x:f>
        <x:v>467</x:v>
      </x:c>
      <x:c r="L27" s="5" t="n">
        <x:f>N26</x:f>
        <x:v>849</x:v>
      </x:c>
      <x:c r="M27" s="5" t="n">
        <x:f>MIN(L27+D27,K27)</x:f>
        <x:v>467</x:v>
      </x:c>
      <x:c r="N27" s="5" t="n">
        <x:f>L27+D27-M27</x:f>
        <x:v>842</x:v>
      </x:c>
      <x:c r="O27" s="12" t="n">
        <x:f>M27/(L27+D27)</x:f>
        <x:v>0.3567608861726509</x:v>
      </x:c>
      <x:c r="P27" s="11" t="n">
        <x:f>N27/455</x:f>
        <x:v>1.8505494505494506</x:v>
      </x:c>
      <x:c r="Q27" s="11" t="n">
        <x:f>M27/(F27+G27)</x:f>
        <x:v>1.9458333333333333</x:v>
      </x:c>
    </x:row>
    <x:row r="28" ht="22" customHeight="1">
      <x:c r="A28" s="5" t="n">
        <x:f>'Raw Delivery'!A28</x:f>
        <x:v>20250628</x:v>
      </x:c>
      <x:c r="B28" s="10" t="n">
        <x:f>'Raw Delivery'!B28</x:f>
        <x:v>45836</x:v>
      </x:c>
      <x:c r="C28" s="5" t="str">
        <x:f>'Raw Delivery'!C28</x:f>
        <x:v>Reassignment</x:v>
      </x:c>
      <x:c r="D28" s="5" t="n">
        <x:f>'Raw Delivery'!D28</x:f>
        <x:v>440</x:v>
      </x:c>
      <x:c r="E28" s="11" t="n">
        <x:f>'Raw Delivery'!E28</x:f>
        <x:v>2.06</x:v>
      </x:c>
      <x:c r="F28" s="11" t="n">
        <x:f>'Raw Labour'!D80*'Raw Labour'!E80</x:f>
        <x:v>210</x:v>
      </x:c>
      <x:c r="G28" s="11" t="n">
        <x:f>'Raw Labour'!G80</x:f>
        <x:v>30</x:v>
      </x:c>
      <x:c r="H28" s="11" t="n">
        <x:f>'Raw Labour'!H80</x:f>
        <x:v>0</x:v>
      </x:c>
      <x:c r="I28" s="11" t="n">
        <x:f>'Raw Labour'!I80</x:f>
        <x:v>1.6</x:v>
      </x:c>
      <x:c r="J28" s="27" t="n">
        <x:f>'Raw Labour'!K80</x:f>
        <x:v>0.62</x:v>
      </x:c>
      <x:c r="K28" s="5" t="n">
        <x:f>ROUNDDOWN((F28-I28+(G28-H28)*J28)*E28,0)</x:f>
        <x:v>467</x:v>
      </x:c>
      <x:c r="L28" s="5" t="n">
        <x:f>N27</x:f>
        <x:v>842</x:v>
      </x:c>
      <x:c r="M28" s="5" t="n">
        <x:f>MIN(L28+D28,K28)</x:f>
        <x:v>467</x:v>
      </x:c>
      <x:c r="N28" s="5" t="n">
        <x:f>L28+D28-M28</x:f>
        <x:v>815</x:v>
      </x:c>
      <x:c r="O28" s="12" t="n">
        <x:f>M28/(L28+D28)</x:f>
        <x:v>0.36427457098283933</x:v>
      </x:c>
      <x:c r="P28" s="11" t="n">
        <x:f>N28/455</x:f>
        <x:v>1.7912087912087913</x:v>
      </x:c>
      <x:c r="Q28" s="11" t="n">
        <x:f>M28/(F28+G28)</x:f>
        <x:v>1.9458333333333333</x:v>
      </x:c>
    </x:row>
    <x:row r="29" ht="22" customHeight="1">
      <x:c r="A29" s="5" t="n">
        <x:f>'Raw Delivery'!A29</x:f>
        <x:v>20250629</x:v>
      </x:c>
      <x:c r="B29" s="10" t="n">
        <x:f>'Raw Delivery'!B29</x:f>
        <x:v>45837</x:v>
      </x:c>
      <x:c r="C29" s="5" t="str">
        <x:f>'Raw Delivery'!C29</x:f>
        <x:v>Reassignment</x:v>
      </x:c>
      <x:c r="D29" s="5" t="n">
        <x:f>'Raw Delivery'!D29</x:f>
        <x:v>458</x:v>
      </x:c>
      <x:c r="E29" s="11" t="n">
        <x:f>'Raw Delivery'!E29</x:f>
        <x:v>2.06</x:v>
      </x:c>
      <x:c r="F29" s="11" t="n">
        <x:f>'Raw Labour'!D83*'Raw Labour'!E83</x:f>
        <x:v>210</x:v>
      </x:c>
      <x:c r="G29" s="11" t="n">
        <x:f>'Raw Labour'!G83</x:f>
        <x:v>30</x:v>
      </x:c>
      <x:c r="H29" s="11" t="n">
        <x:f>'Raw Labour'!H83</x:f>
        <x:v>0</x:v>
      </x:c>
      <x:c r="I29" s="11" t="n">
        <x:f>'Raw Labour'!I83</x:f>
        <x:v>1.6</x:v>
      </x:c>
      <x:c r="J29" s="27" t="n">
        <x:f>'Raw Labour'!K83</x:f>
        <x:v>0.62</x:v>
      </x:c>
      <x:c r="K29" s="5" t="n">
        <x:f>ROUNDDOWN((F29-I29+(G29-H29)*J29)*E29,0)</x:f>
        <x:v>467</x:v>
      </x:c>
      <x:c r="L29" s="5" t="n">
        <x:f>N28</x:f>
        <x:v>815</x:v>
      </x:c>
      <x:c r="M29" s="5" t="n">
        <x:f>MIN(L29+D29,K29)</x:f>
        <x:v>467</x:v>
      </x:c>
      <x:c r="N29" s="5" t="n">
        <x:f>L29+D29-M29</x:f>
        <x:v>806</x:v>
      </x:c>
      <x:c r="O29" s="12" t="n">
        <x:f>M29/(L29+D29)</x:f>
        <x:v>0.36684996072270226</x:v>
      </x:c>
      <x:c r="P29" s="11" t="n">
        <x:f>N29/455</x:f>
        <x:v>1.7714285714285714</x:v>
      </x:c>
      <x:c r="Q29" s="11" t="n">
        <x:f>M29/(F29+G29)</x:f>
        <x:v>1.9458333333333333</x:v>
      </x:c>
    </x:row>
    <x:row r="30" ht="22" customHeight="1">
      <x:c r="A30" s="5" t="n">
        <x:f>'Raw Delivery'!A30</x:f>
        <x:v>20250630</x:v>
      </x:c>
      <x:c r="B30" s="10" t="n">
        <x:f>'Raw Delivery'!B30</x:f>
        <x:v>45838</x:v>
      </x:c>
      <x:c r="C30" s="5" t="str">
        <x:f>'Raw Delivery'!C30</x:f>
        <x:v>Reassignment</x:v>
      </x:c>
      <x:c r="D30" s="5" t="n">
        <x:f>'Raw Delivery'!D30</x:f>
        <x:v>443</x:v>
      </x:c>
      <x:c r="E30" s="11" t="n">
        <x:f>'Raw Delivery'!E30</x:f>
        <x:v>2.06</x:v>
      </x:c>
      <x:c r="F30" s="11" t="n">
        <x:f>'Raw Labour'!D86*'Raw Labour'!E86</x:f>
        <x:v>210</x:v>
      </x:c>
      <x:c r="G30" s="11" t="n">
        <x:f>'Raw Labour'!G86</x:f>
        <x:v>30</x:v>
      </x:c>
      <x:c r="H30" s="11" t="n">
        <x:f>'Raw Labour'!H86</x:f>
        <x:v>0</x:v>
      </x:c>
      <x:c r="I30" s="11" t="n">
        <x:f>'Raw Labour'!I86</x:f>
        <x:v>1.6</x:v>
      </x:c>
      <x:c r="J30" s="27" t="n">
        <x:f>'Raw Labour'!K86</x:f>
        <x:v>0.62</x:v>
      </x:c>
      <x:c r="K30" s="5" t="n">
        <x:f>ROUNDDOWN((F30-I30+(G30-H30)*J30)*E30,0)</x:f>
        <x:v>467</x:v>
      </x:c>
      <x:c r="L30" s="5" t="n">
        <x:f>N29</x:f>
        <x:v>806</x:v>
      </x:c>
      <x:c r="M30" s="5" t="n">
        <x:f>MIN(L30+D30,K30)</x:f>
        <x:v>467</x:v>
      </x:c>
      <x:c r="N30" s="5" t="n">
        <x:f>L30+D30-M30</x:f>
        <x:v>782</x:v>
      </x:c>
      <x:c r="O30" s="12" t="n">
        <x:f>M30/(L30+D30)</x:f>
        <x:v>0.37389911929543634</x:v>
      </x:c>
      <x:c r="P30" s="11" t="n">
        <x:f>N30/455</x:f>
        <x:v>1.7186813186813186</x:v>
      </x:c>
      <x:c r="Q30" s="11" t="n">
        <x:f>M30/(F30+G30)</x:f>
        <x:v>1.9458333333333333</x:v>
      </x:c>
    </x:row>
    <x:row r="31" ht="22" customHeight="1">
      <x:c r="A31" s="5" t="n">
        <x:f>'Raw Delivery'!A31</x:f>
        <x:v>20250701</x:v>
      </x:c>
      <x:c r="B31" s="10" t="n">
        <x:f>'Raw Delivery'!B31</x:f>
        <x:v>45839</x:v>
      </x:c>
      <x:c r="C31" s="5" t="str">
        <x:f>'Raw Delivery'!C31</x:f>
        <x:v>Reassignment</x:v>
      </x:c>
      <x:c r="D31" s="5" t="n">
        <x:f>'Raw Delivery'!D31</x:f>
        <x:v>463</x:v>
      </x:c>
      <x:c r="E31" s="11" t="n">
        <x:f>'Raw Delivery'!E31</x:f>
        <x:v>2.06</x:v>
      </x:c>
      <x:c r="F31" s="11" t="n">
        <x:f>'Raw Labour'!D89*'Raw Labour'!E89</x:f>
        <x:v>210</x:v>
      </x:c>
      <x:c r="G31" s="11" t="n">
        <x:f>'Raw Labour'!G89</x:f>
        <x:v>30</x:v>
      </x:c>
      <x:c r="H31" s="11" t="n">
        <x:f>'Raw Labour'!H89</x:f>
        <x:v>0</x:v>
      </x:c>
      <x:c r="I31" s="11" t="n">
        <x:f>'Raw Labour'!I89</x:f>
        <x:v>1.6</x:v>
      </x:c>
      <x:c r="J31" s="27" t="n">
        <x:f>'Raw Labour'!K89</x:f>
        <x:v>0.62</x:v>
      </x:c>
      <x:c r="K31" s="5" t="n">
        <x:f>ROUNDDOWN((F31-I31+(G31-H31)*J31)*E31,0)</x:f>
        <x:v>467</x:v>
      </x:c>
      <x:c r="L31" s="5" t="n">
        <x:f>N30</x:f>
        <x:v>782</x:v>
      </x:c>
      <x:c r="M31" s="5" t="n">
        <x:f>MIN(L31+D31,K31)</x:f>
        <x:v>467</x:v>
      </x:c>
      <x:c r="N31" s="5" t="n">
        <x:f>L31+D31-M31</x:f>
        <x:v>778</x:v>
      </x:c>
      <x:c r="O31" s="12" t="n">
        <x:f>M31/(L31+D31)</x:f>
        <x:v>0.3751004016064257</x:v>
      </x:c>
      <x:c r="P31" s="11" t="n">
        <x:f>N31/455</x:f>
        <x:v>1.7098901098901098</x:v>
      </x:c>
      <x:c r="Q31" s="11" t="n">
        <x:f>M31/(F31+G31)</x:f>
        <x:v>1.9458333333333333</x:v>
      </x:c>
    </x:row>
    <x:row r="32" ht="22" customHeight="1">
      <x:c r="A32" s="5" t="n">
        <x:f>'Raw Delivery'!A32</x:f>
        <x:v>20250702</x:v>
      </x:c>
      <x:c r="B32" s="10" t="n">
        <x:f>'Raw Delivery'!B32</x:f>
        <x:v>45840</x:v>
      </x:c>
      <x:c r="C32" s="5" t="str">
        <x:f>'Raw Delivery'!C32</x:f>
        <x:v>Reassignment</x:v>
      </x:c>
      <x:c r="D32" s="5" t="n">
        <x:f>'Raw Delivery'!D32</x:f>
        <x:v>473</x:v>
      </x:c>
      <x:c r="E32" s="11" t="n">
        <x:f>'Raw Delivery'!E32</x:f>
        <x:v>2.06</x:v>
      </x:c>
      <x:c r="F32" s="11" t="n">
        <x:f>'Raw Labour'!D92*'Raw Labour'!E92</x:f>
        <x:v>210</x:v>
      </x:c>
      <x:c r="G32" s="11" t="n">
        <x:f>'Raw Labour'!G92</x:f>
        <x:v>30</x:v>
      </x:c>
      <x:c r="H32" s="11" t="n">
        <x:f>'Raw Labour'!H92</x:f>
        <x:v>0</x:v>
      </x:c>
      <x:c r="I32" s="11" t="n">
        <x:f>'Raw Labour'!I92</x:f>
        <x:v>1.6</x:v>
      </x:c>
      <x:c r="J32" s="27" t="n">
        <x:f>'Raw Labour'!K92</x:f>
        <x:v>0.62</x:v>
      </x:c>
      <x:c r="K32" s="5" t="n">
        <x:f>ROUNDDOWN((F32-I32+(G32-H32)*J32)*E32,0)</x:f>
        <x:v>467</x:v>
      </x:c>
      <x:c r="L32" s="5" t="n">
        <x:f>N31</x:f>
        <x:v>778</x:v>
      </x:c>
      <x:c r="M32" s="5" t="n">
        <x:f>MIN(L32+D32,K32)</x:f>
        <x:v>467</x:v>
      </x:c>
      <x:c r="N32" s="5" t="n">
        <x:f>L32+D32-M32</x:f>
        <x:v>784</x:v>
      </x:c>
      <x:c r="O32" s="12" t="n">
        <x:f>M32/(L32+D32)</x:f>
        <x:v>0.3733013589128697</x:v>
      </x:c>
      <x:c r="P32" s="11" t="n">
        <x:f>N32/455</x:f>
        <x:v>1.7230769230769232</x:v>
      </x:c>
      <x:c r="Q32" s="11" t="n">
        <x:f>M32/(F32+G32)</x:f>
        <x:v>1.9458333333333333</x:v>
      </x:c>
    </x:row>
    <x:row r="33" ht="22" customHeight="1">
      <x:c r="A33" s="5" t="n">
        <x:f>'Raw Delivery'!A33</x:f>
        <x:v>20250703</x:v>
      </x:c>
      <x:c r="B33" s="10" t="n">
        <x:f>'Raw Delivery'!B33</x:f>
        <x:v>45841</x:v>
      </x:c>
      <x:c r="C33" s="5" t="str">
        <x:f>'Raw Delivery'!C33</x:f>
        <x:v>Reassignment</x:v>
      </x:c>
      <x:c r="D33" s="5" t="n">
        <x:f>'Raw Delivery'!D33</x:f>
        <x:v>448</x:v>
      </x:c>
      <x:c r="E33" s="11" t="n">
        <x:f>'Raw Delivery'!E33</x:f>
        <x:v>2.06</x:v>
      </x:c>
      <x:c r="F33" s="11" t="n">
        <x:f>'Raw Labour'!D95*'Raw Labour'!E95</x:f>
        <x:v>210</x:v>
      </x:c>
      <x:c r="G33" s="11" t="n">
        <x:f>'Raw Labour'!G95</x:f>
        <x:v>30</x:v>
      </x:c>
      <x:c r="H33" s="11" t="n">
        <x:f>'Raw Labour'!H95</x:f>
        <x:v>0</x:v>
      </x:c>
      <x:c r="I33" s="11" t="n">
        <x:f>'Raw Labour'!I95</x:f>
        <x:v>1.6</x:v>
      </x:c>
      <x:c r="J33" s="27" t="n">
        <x:f>'Raw Labour'!K95</x:f>
        <x:v>0.62</x:v>
      </x:c>
      <x:c r="K33" s="5" t="n">
        <x:f>ROUNDDOWN((F33-I33+(G33-H33)*J33)*E33,0)</x:f>
        <x:v>467</x:v>
      </x:c>
      <x:c r="L33" s="5" t="n">
        <x:f>N32</x:f>
        <x:v>784</x:v>
      </x:c>
      <x:c r="M33" s="5" t="n">
        <x:f>MIN(L33+D33,K33)</x:f>
        <x:v>467</x:v>
      </x:c>
      <x:c r="N33" s="5" t="n">
        <x:f>L33+D33-M33</x:f>
        <x:v>765</x:v>
      </x:c>
      <x:c r="O33" s="12" t="n">
        <x:f>M33/(L33+D33)</x:f>
        <x:v>0.37905844155844154</x:v>
      </x:c>
      <x:c r="P33" s="11" t="n">
        <x:f>N33/455</x:f>
        <x:v>1.6813186813186813</x:v>
      </x:c>
      <x:c r="Q33" s="11" t="n">
        <x:f>M33/(F33+G33)</x:f>
        <x:v>1.9458333333333333</x:v>
      </x:c>
    </x:row>
    <x:row r="34" ht="22" customHeight="1">
      <x:c r="A34" s="5" t="n">
        <x:f>'Raw Delivery'!A34</x:f>
        <x:v>20250704</x:v>
      </x:c>
      <x:c r="B34" s="10" t="n">
        <x:f>'Raw Delivery'!B34</x:f>
        <x:v>45842</x:v>
      </x:c>
      <x:c r="C34" s="5" t="str">
        <x:f>'Raw Delivery'!C34</x:f>
        <x:v>Reassignment</x:v>
      </x:c>
      <x:c r="D34" s="5" t="n">
        <x:f>'Raw Delivery'!D34</x:f>
        <x:v>460</x:v>
      </x:c>
      <x:c r="E34" s="11" t="n">
        <x:f>'Raw Delivery'!E34</x:f>
        <x:v>2.06</x:v>
      </x:c>
      <x:c r="F34" s="11" t="n">
        <x:f>'Raw Labour'!D98*'Raw Labour'!E98</x:f>
        <x:v>210</x:v>
      </x:c>
      <x:c r="G34" s="11" t="n">
        <x:f>'Raw Labour'!G98</x:f>
        <x:v>30</x:v>
      </x:c>
      <x:c r="H34" s="11" t="n">
        <x:f>'Raw Labour'!H98</x:f>
        <x:v>0</x:v>
      </x:c>
      <x:c r="I34" s="11" t="n">
        <x:f>'Raw Labour'!I98</x:f>
        <x:v>1.6</x:v>
      </x:c>
      <x:c r="J34" s="27" t="n">
        <x:f>'Raw Labour'!K98</x:f>
        <x:v>0.62</x:v>
      </x:c>
      <x:c r="K34" s="5" t="n">
        <x:f>ROUNDDOWN((F34-I34+(G34-H34)*J34)*E34,0)</x:f>
        <x:v>467</x:v>
      </x:c>
      <x:c r="L34" s="5" t="n">
        <x:f>N33</x:f>
        <x:v>765</x:v>
      </x:c>
      <x:c r="M34" s="5" t="n">
        <x:f>MIN(L34+D34,K34)</x:f>
        <x:v>467</x:v>
      </x:c>
      <x:c r="N34" s="5" t="n">
        <x:f>L34+D34-M34</x:f>
        <x:v>758</x:v>
      </x:c>
      <x:c r="O34" s="12" t="n">
        <x:f>M34/(L34+D34)</x:f>
        <x:v>0.3812244897959184</x:v>
      </x:c>
      <x:c r="P34" s="11" t="n">
        <x:f>N34/455</x:f>
        <x:v>1.665934065934066</x:v>
      </x:c>
      <x:c r="Q34" s="11" t="n">
        <x:f>M34/(F34+G34)</x:f>
        <x:v>1.9458333333333333</x:v>
      </x:c>
    </x:row>
    <x:row r="35" ht="22" customHeight="1">
      <x:c r="A35" s="5" t="n">
        <x:f>'Raw Delivery'!A35</x:f>
        <x:v>20250705</x:v>
      </x:c>
      <x:c r="B35" s="10" t="n">
        <x:f>'Raw Delivery'!B35</x:f>
        <x:v>45843</x:v>
      </x:c>
      <x:c r="C35" s="5" t="str">
        <x:f>'Raw Delivery'!C35</x:f>
        <x:v>Reassignment</x:v>
      </x:c>
      <x:c r="D35" s="5" t="n">
        <x:f>'Raw Delivery'!D35</x:f>
        <x:v>440</x:v>
      </x:c>
      <x:c r="E35" s="11" t="n">
        <x:f>'Raw Delivery'!E35</x:f>
        <x:v>2.06</x:v>
      </x:c>
      <x:c r="F35" s="11" t="n">
        <x:f>'Raw Labour'!D101*'Raw Labour'!E101</x:f>
        <x:v>210</x:v>
      </x:c>
      <x:c r="G35" s="11" t="n">
        <x:f>'Raw Labour'!G101</x:f>
        <x:v>30</x:v>
      </x:c>
      <x:c r="H35" s="11" t="n">
        <x:f>'Raw Labour'!H101</x:f>
        <x:v>0</x:v>
      </x:c>
      <x:c r="I35" s="11" t="n">
        <x:f>'Raw Labour'!I101</x:f>
        <x:v>1.6</x:v>
      </x:c>
      <x:c r="J35" s="27" t="n">
        <x:f>'Raw Labour'!K101</x:f>
        <x:v>0.62</x:v>
      </x:c>
      <x:c r="K35" s="5" t="n">
        <x:f>ROUNDDOWN((F35-I35+(G35-H35)*J35)*E35,0)</x:f>
        <x:v>467</x:v>
      </x:c>
      <x:c r="L35" s="5" t="n">
        <x:f>N34</x:f>
        <x:v>758</x:v>
      </x:c>
      <x:c r="M35" s="5" t="n">
        <x:f>MIN(L35+D35,K35)</x:f>
        <x:v>467</x:v>
      </x:c>
      <x:c r="N35" s="5" t="n">
        <x:f>L35+D35-M35</x:f>
        <x:v>731</x:v>
      </x:c>
      <x:c r="O35" s="12" t="n">
        <x:f>M35/(L35+D35)</x:f>
        <x:v>0.38981636060100167</x:v>
      </x:c>
      <x:c r="P35" s="11" t="n">
        <x:f>N35/455</x:f>
        <x:v>1.6065934065934067</x:v>
      </x:c>
      <x:c r="Q35" s="11" t="n">
        <x:f>M35/(F35+G35)</x:f>
        <x:v>1.9458333333333333</x:v>
      </x:c>
    </x:row>
    <x:row r="36" ht="22" customHeight="1">
      <x:c r="A36" s="5" t="n">
        <x:f>'Raw Delivery'!A36</x:f>
        <x:v>20250706</x:v>
      </x:c>
      <x:c r="B36" s="10" t="n">
        <x:f>'Raw Delivery'!B36</x:f>
        <x:v>45844</x:v>
      </x:c>
      <x:c r="C36" s="5" t="str">
        <x:f>'Raw Delivery'!C36</x:f>
        <x:v>Reassignment</x:v>
      </x:c>
      <x:c r="D36" s="5" t="n">
        <x:f>'Raw Delivery'!D36</x:f>
        <x:v>458</x:v>
      </x:c>
      <x:c r="E36" s="11" t="n">
        <x:f>'Raw Delivery'!E36</x:f>
        <x:v>2.06</x:v>
      </x:c>
      <x:c r="F36" s="11" t="n">
        <x:f>'Raw Labour'!D104*'Raw Labour'!E104</x:f>
        <x:v>210</x:v>
      </x:c>
      <x:c r="G36" s="11" t="n">
        <x:f>'Raw Labour'!G104</x:f>
        <x:v>30</x:v>
      </x:c>
      <x:c r="H36" s="11" t="n">
        <x:f>'Raw Labour'!H104</x:f>
        <x:v>0</x:v>
      </x:c>
      <x:c r="I36" s="11" t="n">
        <x:f>'Raw Labour'!I104</x:f>
        <x:v>1.6</x:v>
      </x:c>
      <x:c r="J36" s="27" t="n">
        <x:f>'Raw Labour'!K104</x:f>
        <x:v>0.62</x:v>
      </x:c>
      <x:c r="K36" s="5" t="n">
        <x:f>ROUNDDOWN((F36-I36+(G36-H36)*J36)*E36,0)</x:f>
        <x:v>467</x:v>
      </x:c>
      <x:c r="L36" s="5" t="n">
        <x:f>N35</x:f>
        <x:v>731</x:v>
      </x:c>
      <x:c r="M36" s="5" t="n">
        <x:f>MIN(L36+D36,K36)</x:f>
        <x:v>467</x:v>
      </x:c>
      <x:c r="N36" s="5" t="n">
        <x:f>L36+D36-M36</x:f>
        <x:v>722</x:v>
      </x:c>
      <x:c r="O36" s="12" t="n">
        <x:f>M36/(L36+D36)</x:f>
        <x:v>0.3927670311185871</x:v>
      </x:c>
      <x:c r="P36" s="11" t="n">
        <x:f>N36/455</x:f>
        <x:v>1.5868131868131867</x:v>
      </x:c>
      <x:c r="Q36" s="11" t="n">
        <x:f>M36/(F36+G36)</x:f>
        <x:v>1.9458333333333333</x:v>
      </x:c>
    </x:row>
    <x:row r="37" ht="22" customHeight="1">
      <x:c r="A37" s="5" t="n">
        <x:f>'Raw Delivery'!A37</x:f>
        <x:v>20250707</x:v>
      </x:c>
      <x:c r="B37" s="10" t="n">
        <x:f>'Raw Delivery'!B37</x:f>
        <x:v>45845</x:v>
      </x:c>
      <x:c r="C37" s="5" t="str">
        <x:f>'Raw Delivery'!C37</x:f>
        <x:v>Reassignment</x:v>
      </x:c>
      <x:c r="D37" s="5" t="n">
        <x:f>'Raw Delivery'!D37</x:f>
        <x:v>443</x:v>
      </x:c>
      <x:c r="E37" s="11" t="n">
        <x:f>'Raw Delivery'!E37</x:f>
        <x:v>2.06</x:v>
      </x:c>
      <x:c r="F37" s="11" t="n">
        <x:f>'Raw Labour'!D107*'Raw Labour'!E107</x:f>
        <x:v>210</x:v>
      </x:c>
      <x:c r="G37" s="11" t="n">
        <x:f>'Raw Labour'!G107</x:f>
        <x:v>30</x:v>
      </x:c>
      <x:c r="H37" s="11" t="n">
        <x:f>'Raw Labour'!H107</x:f>
        <x:v>0</x:v>
      </x:c>
      <x:c r="I37" s="11" t="n">
        <x:f>'Raw Labour'!I107</x:f>
        <x:v>1.6</x:v>
      </x:c>
      <x:c r="J37" s="27" t="n">
        <x:f>'Raw Labour'!K107</x:f>
        <x:v>0.62</x:v>
      </x:c>
      <x:c r="K37" s="5" t="n">
        <x:f>ROUNDDOWN((F37-I37+(G37-H37)*J37)*E37,0)</x:f>
        <x:v>467</x:v>
      </x:c>
      <x:c r="L37" s="5" t="n">
        <x:f>N36</x:f>
        <x:v>722</x:v>
      </x:c>
      <x:c r="M37" s="5" t="n">
        <x:f>MIN(L37+D37,K37)</x:f>
        <x:v>467</x:v>
      </x:c>
      <x:c r="N37" s="5" t="n">
        <x:f>L37+D37-M37</x:f>
        <x:v>698</x:v>
      </x:c>
      <x:c r="O37" s="12" t="n">
        <x:f>M37/(L37+D37)</x:f>
        <x:v>0.4008583690987124</x:v>
      </x:c>
      <x:c r="P37" s="11" t="n">
        <x:f>N37/455</x:f>
        <x:v>1.5340659340659342</x:v>
      </x:c>
      <x:c r="Q37" s="11" t="n">
        <x:f>M37/(F37+G37)</x:f>
        <x:v>1.9458333333333333</x:v>
      </x:c>
    </x:row>
    <x:row r="38" ht="22" customHeight="1">
      <x:c r="A38" s="5" t="n">
        <x:f>'Raw Delivery'!A38</x:f>
        <x:v>20250708</x:v>
      </x:c>
      <x:c r="B38" s="10" t="n">
        <x:f>'Raw Delivery'!B38</x:f>
        <x:v>45846</x:v>
      </x:c>
      <x:c r="C38" s="5" t="str">
        <x:f>'Raw Delivery'!C38</x:f>
        <x:v>Reassignment</x:v>
      </x:c>
      <x:c r="D38" s="5" t="n">
        <x:f>'Raw Delivery'!D38</x:f>
        <x:v>463</x:v>
      </x:c>
      <x:c r="E38" s="11" t="n">
        <x:f>'Raw Delivery'!E38</x:f>
        <x:v>2.06</x:v>
      </x:c>
      <x:c r="F38" s="11" t="n">
        <x:f>'Raw Labour'!D110*'Raw Labour'!E110</x:f>
        <x:v>210</x:v>
      </x:c>
      <x:c r="G38" s="11" t="n">
        <x:f>'Raw Labour'!G110</x:f>
        <x:v>30</x:v>
      </x:c>
      <x:c r="H38" s="11" t="n">
        <x:f>'Raw Labour'!H110</x:f>
        <x:v>0</x:v>
      </x:c>
      <x:c r="I38" s="11" t="n">
        <x:f>'Raw Labour'!I110</x:f>
        <x:v>1.6</x:v>
      </x:c>
      <x:c r="J38" s="27" t="n">
        <x:f>'Raw Labour'!K110</x:f>
        <x:v>0.62</x:v>
      </x:c>
      <x:c r="K38" s="5" t="n">
        <x:f>ROUNDDOWN((F38-I38+(G38-H38)*J38)*E38,0)</x:f>
        <x:v>467</x:v>
      </x:c>
      <x:c r="L38" s="5" t="n">
        <x:f>N37</x:f>
        <x:v>698</x:v>
      </x:c>
      <x:c r="M38" s="5" t="n">
        <x:f>MIN(L38+D38,K38)</x:f>
        <x:v>467</x:v>
      </x:c>
      <x:c r="N38" s="5" t="n">
        <x:f>L38+D38-M38</x:f>
        <x:v>694</x:v>
      </x:c>
      <x:c r="O38" s="12" t="n">
        <x:f>M38/(L38+D38)</x:f>
        <x:v>0.40223944875107664</x:v>
      </x:c>
      <x:c r="P38" s="11" t="n">
        <x:f>N38/455</x:f>
        <x:v>1.5252747252747252</x:v>
      </x:c>
      <x:c r="Q38" s="11" t="n">
        <x:f>M38/(F38+G38)</x:f>
        <x:v>1.9458333333333333</x:v>
      </x:c>
    </x:row>
    <x:row r="39" ht="22" customHeight="1">
      <x:c r="A39" s="5" t="n">
        <x:f>'Raw Delivery'!A39</x:f>
        <x:v>20250709</x:v>
      </x:c>
      <x:c r="B39" s="10" t="n">
        <x:f>'Raw Delivery'!B39</x:f>
        <x:v>45847</x:v>
      </x:c>
      <x:c r="C39" s="5" t="str">
        <x:f>'Raw Delivery'!C39</x:f>
        <x:v>Reassignment</x:v>
      </x:c>
      <x:c r="D39" s="5" t="n">
        <x:f>'Raw Delivery'!D39</x:f>
        <x:v>473</x:v>
      </x:c>
      <x:c r="E39" s="11" t="n">
        <x:f>'Raw Delivery'!E39</x:f>
        <x:v>2.06</x:v>
      </x:c>
      <x:c r="F39" s="11" t="n">
        <x:f>'Raw Labour'!D113*'Raw Labour'!E113</x:f>
        <x:v>210</x:v>
      </x:c>
      <x:c r="G39" s="11" t="n">
        <x:f>'Raw Labour'!G113</x:f>
        <x:v>30</x:v>
      </x:c>
      <x:c r="H39" s="11" t="n">
        <x:f>'Raw Labour'!H113</x:f>
        <x:v>0</x:v>
      </x:c>
      <x:c r="I39" s="11" t="n">
        <x:f>'Raw Labour'!I113</x:f>
        <x:v>1.6</x:v>
      </x:c>
      <x:c r="J39" s="27" t="n">
        <x:f>'Raw Labour'!K113</x:f>
        <x:v>0.62</x:v>
      </x:c>
      <x:c r="K39" s="5" t="n">
        <x:f>ROUNDDOWN((F39-I39+(G39-H39)*J39)*E39,0)</x:f>
        <x:v>467</x:v>
      </x:c>
      <x:c r="L39" s="5" t="n">
        <x:f>N38</x:f>
        <x:v>694</x:v>
      </x:c>
      <x:c r="M39" s="5" t="n">
        <x:f>MIN(L39+D39,K39)</x:f>
        <x:v>467</x:v>
      </x:c>
      <x:c r="N39" s="5" t="n">
        <x:f>L39+D39-M39</x:f>
        <x:v>700</x:v>
      </x:c>
      <x:c r="O39" s="12" t="n">
        <x:f>M39/(L39+D39)</x:f>
        <x:v>0.4001713796058269</x:v>
      </x:c>
      <x:c r="P39" s="11" t="n">
        <x:f>N39/455</x:f>
        <x:v>1.5384615384615385</x:v>
      </x:c>
      <x:c r="Q39" s="11" t="n">
        <x:f>M39/(F39+G39)</x:f>
        <x:v>1.9458333333333333</x:v>
      </x:c>
    </x:row>
    <x:row r="40" ht="22" customHeight="1">
      <x:c r="A40" s="5" t="n">
        <x:f>'Raw Delivery'!A40</x:f>
        <x:v>20250710</x:v>
      </x:c>
      <x:c r="B40" s="10" t="n">
        <x:f>'Raw Delivery'!B40</x:f>
        <x:v>45848</x:v>
      </x:c>
      <x:c r="C40" s="5" t="str">
        <x:f>'Raw Delivery'!C40</x:f>
        <x:v>Reassignment</x:v>
      </x:c>
      <x:c r="D40" s="5" t="n">
        <x:f>'Raw Delivery'!D40</x:f>
        <x:v>448</x:v>
      </x:c>
      <x:c r="E40" s="11" t="n">
        <x:f>'Raw Delivery'!E40</x:f>
        <x:v>2.06</x:v>
      </x:c>
      <x:c r="F40" s="11" t="n">
        <x:f>'Raw Labour'!D116*'Raw Labour'!E116</x:f>
        <x:v>210</x:v>
      </x:c>
      <x:c r="G40" s="11" t="n">
        <x:f>'Raw Labour'!G116</x:f>
        <x:v>30</x:v>
      </x:c>
      <x:c r="H40" s="11" t="n">
        <x:f>'Raw Labour'!H116</x:f>
        <x:v>0</x:v>
      </x:c>
      <x:c r="I40" s="11" t="n">
        <x:f>'Raw Labour'!I116</x:f>
        <x:v>1.6</x:v>
      </x:c>
      <x:c r="J40" s="27" t="n">
        <x:f>'Raw Labour'!K116</x:f>
        <x:v>0.62</x:v>
      </x:c>
      <x:c r="K40" s="5" t="n">
        <x:f>ROUNDDOWN((F40-I40+(G40-H40)*J40)*E40,0)</x:f>
        <x:v>467</x:v>
      </x:c>
      <x:c r="L40" s="5" t="n">
        <x:f>N39</x:f>
        <x:v>700</x:v>
      </x:c>
      <x:c r="M40" s="5" t="n">
        <x:f>MIN(L40+D40,K40)</x:f>
        <x:v>467</x:v>
      </x:c>
      <x:c r="N40" s="5" t="n">
        <x:f>L40+D40-M40</x:f>
        <x:v>681</x:v>
      </x:c>
      <x:c r="O40" s="12" t="n">
        <x:f>M40/(L40+D40)</x:f>
        <x:v>0.406794425087108</x:v>
      </x:c>
      <x:c r="P40" s="11" t="n">
        <x:f>N40/455</x:f>
        <x:v>1.4967032967032967</x:v>
      </x:c>
      <x:c r="Q40" s="11" t="n">
        <x:f>M40/(F40+G40)</x:f>
        <x:v>1.9458333333333333</x:v>
      </x:c>
    </x:row>
    <x:row r="41" ht="22" customHeight="1">
      <x:c r="A41" s="5" t="n">
        <x:f>'Raw Delivery'!A41</x:f>
        <x:v>20250711</x:v>
      </x:c>
      <x:c r="B41" s="10" t="n">
        <x:f>'Raw Delivery'!B41</x:f>
        <x:v>45849</x:v>
      </x:c>
      <x:c r="C41" s="5" t="str">
        <x:f>'Raw Delivery'!C41</x:f>
        <x:v>Reassignment</x:v>
      </x:c>
      <x:c r="D41" s="5" t="n">
        <x:f>'Raw Delivery'!D41</x:f>
        <x:v>460</x:v>
      </x:c>
      <x:c r="E41" s="11" t="n">
        <x:f>'Raw Delivery'!E41</x:f>
        <x:v>2.06</x:v>
      </x:c>
      <x:c r="F41" s="11" t="n">
        <x:f>'Raw Labour'!D119*'Raw Labour'!E119</x:f>
        <x:v>210</x:v>
      </x:c>
      <x:c r="G41" s="11" t="n">
        <x:f>'Raw Labour'!G119</x:f>
        <x:v>30</x:v>
      </x:c>
      <x:c r="H41" s="11" t="n">
        <x:f>'Raw Labour'!H119</x:f>
        <x:v>0</x:v>
      </x:c>
      <x:c r="I41" s="11" t="n">
        <x:f>'Raw Labour'!I119</x:f>
        <x:v>1.6</x:v>
      </x:c>
      <x:c r="J41" s="27" t="n">
        <x:f>'Raw Labour'!K119</x:f>
        <x:v>0.62</x:v>
      </x:c>
      <x:c r="K41" s="5" t="n">
        <x:f>ROUNDDOWN((F41-I41+(G41-H41)*J41)*E41,0)</x:f>
        <x:v>467</x:v>
      </x:c>
      <x:c r="L41" s="5" t="n">
        <x:f>N40</x:f>
        <x:v>681</x:v>
      </x:c>
      <x:c r="M41" s="5" t="n">
        <x:f>MIN(L41+D41,K41)</x:f>
        <x:v>467</x:v>
      </x:c>
      <x:c r="N41" s="5" t="n">
        <x:f>L41+D41-M41</x:f>
        <x:v>674</x:v>
      </x:c>
      <x:c r="O41" s="12" t="n">
        <x:f>M41/(L41+D41)</x:f>
        <x:v>0.4092900964066608</x:v>
      </x:c>
      <x:c r="P41" s="11" t="n">
        <x:f>N41/455</x:f>
        <x:v>1.4813186813186814</x:v>
      </x:c>
      <x:c r="Q41" s="11" t="n">
        <x:f>M41/(F41+G41)</x:f>
        <x:v>1.9458333333333333</x:v>
      </x:c>
    </x:row>
    <x:row r="42" ht="22" customHeight="1">
      <x:c r="A42" s="5" t="n">
        <x:f>'Raw Delivery'!A42</x:f>
        <x:v>20250712</x:v>
      </x:c>
      <x:c r="B42" s="10" t="n">
        <x:f>'Raw Delivery'!B42</x:f>
        <x:v>45850</x:v>
      </x:c>
      <x:c r="C42" s="5" t="str">
        <x:f>'Raw Delivery'!C42</x:f>
        <x:v>Reassignment</x:v>
      </x:c>
      <x:c r="D42" s="5" t="n">
        <x:f>'Raw Delivery'!D42</x:f>
        <x:v>440</x:v>
      </x:c>
      <x:c r="E42" s="11" t="n">
        <x:f>'Raw Delivery'!E42</x:f>
        <x:v>2.06</x:v>
      </x:c>
      <x:c r="F42" s="11" t="n">
        <x:f>'Raw Labour'!D122*'Raw Labour'!E122</x:f>
        <x:v>210</x:v>
      </x:c>
      <x:c r="G42" s="11" t="n">
        <x:f>'Raw Labour'!G122</x:f>
        <x:v>30</x:v>
      </x:c>
      <x:c r="H42" s="11" t="n">
        <x:f>'Raw Labour'!H122</x:f>
        <x:v>0</x:v>
      </x:c>
      <x:c r="I42" s="11" t="n">
        <x:f>'Raw Labour'!I122</x:f>
        <x:v>1.6</x:v>
      </x:c>
      <x:c r="J42" s="27" t="n">
        <x:f>'Raw Labour'!K122</x:f>
        <x:v>0.62</x:v>
      </x:c>
      <x:c r="K42" s="5" t="n">
        <x:f>ROUNDDOWN((F42-I42+(G42-H42)*J42)*E42,0)</x:f>
        <x:v>467</x:v>
      </x:c>
      <x:c r="L42" s="5" t="n">
        <x:f>N41</x:f>
        <x:v>674</x:v>
      </x:c>
      <x:c r="M42" s="5" t="n">
        <x:f>MIN(L42+D42,K42)</x:f>
        <x:v>467</x:v>
      </x:c>
      <x:c r="N42" s="5" t="n">
        <x:f>L42+D42-M42</x:f>
        <x:v>647</x:v>
      </x:c>
      <x:c r="O42" s="12" t="n">
        <x:f>M42/(L42+D42)</x:f>
        <x:v>0.41921005385996407</x:v>
      </x:c>
      <x:c r="P42" s="11" t="n">
        <x:f>N42/455</x:f>
        <x:v>1.421978021978022</x:v>
      </x:c>
      <x:c r="Q42" s="11" t="n">
        <x:f>M42/(F42+G42)</x:f>
        <x:v>1.9458333333333333</x:v>
      </x:c>
    </x:row>
    <x:row r="43" ht="22" customHeight="1">
      <x:c r="A43" s="5" t="n">
        <x:f>'Raw Delivery'!A43</x:f>
        <x:v>20250713</x:v>
      </x:c>
      <x:c r="B43" s="10" t="n">
        <x:f>'Raw Delivery'!B43</x:f>
        <x:v>45851</x:v>
      </x:c>
      <x:c r="C43" s="5" t="str">
        <x:f>'Raw Delivery'!C43</x:f>
        <x:v>Reassignment</x:v>
      </x:c>
      <x:c r="D43" s="5" t="n">
        <x:f>'Raw Delivery'!D43</x:f>
        <x:v>458</x:v>
      </x:c>
      <x:c r="E43" s="11" t="n">
        <x:f>'Raw Delivery'!E43</x:f>
        <x:v>2.06</x:v>
      </x:c>
      <x:c r="F43" s="11" t="n">
        <x:f>'Raw Labour'!D125*'Raw Labour'!E125</x:f>
        <x:v>210</x:v>
      </x:c>
      <x:c r="G43" s="11" t="n">
        <x:f>'Raw Labour'!G125</x:f>
        <x:v>30</x:v>
      </x:c>
      <x:c r="H43" s="11" t="n">
        <x:f>'Raw Labour'!H125</x:f>
        <x:v>0</x:v>
      </x:c>
      <x:c r="I43" s="11" t="n">
        <x:f>'Raw Labour'!I125</x:f>
        <x:v>1.6</x:v>
      </x:c>
      <x:c r="J43" s="27" t="n">
        <x:f>'Raw Labour'!K125</x:f>
        <x:v>0.62</x:v>
      </x:c>
      <x:c r="K43" s="5" t="n">
        <x:f>ROUNDDOWN((F43-I43+(G43-H43)*J43)*E43,0)</x:f>
        <x:v>467</x:v>
      </x:c>
      <x:c r="L43" s="5" t="n">
        <x:f>N42</x:f>
        <x:v>647</x:v>
      </x:c>
      <x:c r="M43" s="5" t="n">
        <x:f>MIN(L43+D43,K43)</x:f>
        <x:v>467</x:v>
      </x:c>
      <x:c r="N43" s="5" t="n">
        <x:f>L43+D43-M43</x:f>
        <x:v>638</x:v>
      </x:c>
      <x:c r="O43" s="12" t="n">
        <x:f>M43/(L43+D43)</x:f>
        <x:v>0.42262443438914027</x:v>
      </x:c>
      <x:c r="P43" s="11" t="n">
        <x:f>N43/455</x:f>
        <x:v>1.402197802197802</x:v>
      </x:c>
      <x:c r="Q43" s="11" t="n">
        <x:f>M43/(F43+G43)</x:f>
        <x:v>1.9458333333333333</x:v>
      </x:c>
    </x:row>
  </x:sheetData>
  <x:conditionalFormatting sqref="N2:N43">
    <x:cfRule type="colorScale" priority="1">
      <x:colorScale>
        <x:cfvo type="min"/>
        <x:cfvo type="max"/>
        <x:color rgb="FFF6F8FA"/>
        <x:color rgb="FFE4AD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42511af85a6432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2" customHeight="1">
      <x:c r="A1" s="7" t="str">
        <x:v>DateKey</x:v>
      </x:c>
      <x:c r="B1" s="7" t="str">
        <x:v>DepartmentKey</x:v>
      </x:c>
      <x:c r="C1" s="7" t="str">
        <x:v>Home paid h</x:v>
      </x:c>
      <x:c r="D1" s="7" t="str">
        <x:v>Moved out h</x:v>
      </x:c>
      <x:c r="E1" s="7" t="str">
        <x:v>Moved in h</x:v>
      </x:c>
      <x:c r="F1" s="7" t="str">
        <x:v>Training h</x:v>
      </x:c>
      <x:c r="G1" s="7" t="str">
        <x:v>Mentor h</x:v>
      </x:c>
      <x:c r="H1" s="7" t="str">
        <x:v>Effective available h</x:v>
      </x:c>
      <x:c r="I1" s="7" t="str">
        <x:v>Required effective h</x:v>
      </x:c>
      <x:c r="J1" s="7" t="str">
        <x:v>Spare effective h</x:v>
      </x:c>
      <x:c r="K1" s="7" t="str">
        <x:v>Load/capacity %</x:v>
      </x:c>
    </x:row>
    <x:row r="2" ht="22" customHeight="1">
      <x:c r="A2" s="5" t="n">
        <x:f>'Raw Labour'!A2</x:f>
        <x:v>20250602</x:v>
      </x:c>
      <x:c r="B2" s="5" t="str">
        <x:f>IF(TRIM(LOWER('Raw Labour'!C2))="delivery","DEL",IF(TRIM(LOWER('Raw Labour'!C2))="recycling","REC",IF(TRIM(LOWER('Raw Labour'!C2))="picking","PCK","UNMAPPED")))</x:f>
        <x:v>DEL</x:v>
      </x:c>
      <x:c r="C2" s="13" t="n">
        <x:f>'Raw Labour'!D2*'Raw Labour'!E2</x:f>
        <x:v>210</x:v>
      </x:c>
      <x:c r="D2" s="13" t="n">
        <x:f>'Raw Labour'!F2</x:f>
        <x:v>0</x:v>
      </x:c>
      <x:c r="E2" s="13" t="n">
        <x:f>'Raw Labour'!G2</x:f>
        <x:v>0</x:v>
      </x:c>
      <x:c r="F2" s="13" t="n">
        <x:f>'Raw Labour'!H2</x:f>
        <x:v>0</x:v>
      </x:c>
      <x:c r="G2" s="13" t="n">
        <x:f>'Raw Labour'!I2</x:f>
        <x:v>0</x:v>
      </x:c>
      <x:c r="H2" s="13" t="n">
        <x:f>C2-D2-G2+(E2-F2)*'Raw Labour'!K2</x:f>
        <x:v>210</x:v>
      </x:c>
      <x:c r="I2" s="13" t="n">
        <x:f>'Raw Labour'!J2</x:f>
        <x:v>248.16326530612244</x:v>
      </x:c>
      <x:c r="J2" s="13" t="n">
        <x:f>MAX(0,H2-I2)</x:f>
        <x:v>0</x:v>
      </x:c>
      <x:c r="K2" s="12" t="n">
        <x:f>MIN(1,I2/H2)</x:f>
        <x:v>1</x:v>
      </x:c>
    </x:row>
    <x:row r="3" ht="22" customHeight="1">
      <x:c r="A3" s="5" t="n">
        <x:f>'Raw Labour'!A3</x:f>
        <x:v>20250602</x:v>
      </x:c>
      <x:c r="B3" s="5" t="str">
        <x:f>IF(TRIM(LOWER('Raw Labour'!C3))="delivery","DEL",IF(TRIM(LOWER('Raw Labour'!C3))="recycling","REC",IF(TRIM(LOWER('Raw Labour'!C3))="picking","PCK","UNMAPPED")))</x:f>
        <x:v>REC</x:v>
      </x:c>
      <x:c r="C3" s="13" t="n">
        <x:f>'Raw Labour'!D3*'Raw Labour'!E3</x:f>
        <x:v>90</x:v>
      </x:c>
      <x:c r="D3" s="13" t="n">
        <x:f>'Raw Labour'!F3</x:f>
        <x:v>0</x:v>
      </x:c>
      <x:c r="E3" s="13" t="n">
        <x:f>'Raw Labour'!G3</x:f>
        <x:v>0</x:v>
      </x:c>
      <x:c r="F3" s="13" t="n">
        <x:f>'Raw Labour'!H3</x:f>
        <x:v>0</x:v>
      </x:c>
      <x:c r="G3" s="13" t="n">
        <x:f>'Raw Labour'!I3</x:f>
        <x:v>0</x:v>
      </x:c>
      <x:c r="H3" s="13" t="n">
        <x:f>C3-D3-G3+(E3-F3)*'Raw Labour'!K3</x:f>
        <x:v>90</x:v>
      </x:c>
      <x:c r="I3" s="13" t="n">
        <x:f>'Raw Labour'!J3</x:f>
        <x:v>78</x:v>
      </x:c>
      <x:c r="J3" s="13" t="n">
        <x:f>MAX(0,H3-I3)</x:f>
        <x:v>12</x:v>
      </x:c>
      <x:c r="K3" s="12" t="n">
        <x:f>MIN(1,I3/H3)</x:f>
        <x:v>0.8666666666666667</x:v>
      </x:c>
    </x:row>
    <x:row r="4" ht="22" customHeight="1">
      <x:c r="A4" s="5" t="n">
        <x:f>'Raw Labour'!A4</x:f>
        <x:v>20250602</x:v>
      </x:c>
      <x:c r="B4" s="5" t="str">
        <x:f>IF(TRIM(LOWER('Raw Labour'!C4))="delivery","DEL",IF(TRIM(LOWER('Raw Labour'!C4))="recycling","REC",IF(TRIM(LOWER('Raw Labour'!C4))="picking","PCK","UNMAPPED")))</x:f>
        <x:v>PCK</x:v>
      </x:c>
      <x:c r="C4" s="13" t="n">
        <x:f>'Raw Labour'!D4*'Raw Labour'!E4</x:f>
        <x:v>180</x:v>
      </x:c>
      <x:c r="D4" s="13" t="n">
        <x:f>'Raw Labour'!F4</x:f>
        <x:v>0</x:v>
      </x:c>
      <x:c r="E4" s="13" t="n">
        <x:f>'Raw Labour'!G4</x:f>
        <x:v>0</x:v>
      </x:c>
      <x:c r="F4" s="13" t="n">
        <x:f>'Raw Labour'!H4</x:f>
        <x:v>0</x:v>
      </x:c>
      <x:c r="G4" s="13" t="n">
        <x:f>'Raw Labour'!I4</x:f>
        <x:v>0</x:v>
      </x:c>
      <x:c r="H4" s="13" t="n">
        <x:f>C4-D4-G4+(E4-F4)*'Raw Labour'!K4</x:f>
        <x:v>180</x:v>
      </x:c>
      <x:c r="I4" s="13" t="n">
        <x:f>'Raw Labour'!J4</x:f>
        <x:v>165</x:v>
      </x:c>
      <x:c r="J4" s="13" t="n">
        <x:f>MAX(0,H4-I4)</x:f>
        <x:v>15</x:v>
      </x:c>
      <x:c r="K4" s="12" t="n">
        <x:f>MIN(1,I4/H4)</x:f>
        <x:v>0.9166666666666666</x:v>
      </x:c>
    </x:row>
    <x:row r="5" ht="22" customHeight="1">
      <x:c r="A5" s="5" t="n">
        <x:f>'Raw Labour'!A5</x:f>
        <x:v>20250603</x:v>
      </x:c>
      <x:c r="B5" s="5" t="str">
        <x:f>IF(TRIM(LOWER('Raw Labour'!C5))="delivery","DEL",IF(TRIM(LOWER('Raw Labour'!C5))="recycling","REC",IF(TRIM(LOWER('Raw Labour'!C5))="picking","PCK","UNMAPPED")))</x:f>
        <x:v>DEL</x:v>
      </x:c>
      <x:c r="C5" s="13" t="n">
        <x:f>'Raw Labour'!D5*'Raw Labour'!E5</x:f>
        <x:v>210</x:v>
      </x:c>
      <x:c r="D5" s="13" t="n">
        <x:f>'Raw Labour'!F5</x:f>
        <x:v>0</x:v>
      </x:c>
      <x:c r="E5" s="13" t="n">
        <x:f>'Raw Labour'!G5</x:f>
        <x:v>0</x:v>
      </x:c>
      <x:c r="F5" s="13" t="n">
        <x:f>'Raw Labour'!H5</x:f>
        <x:v>0</x:v>
      </x:c>
      <x:c r="G5" s="13" t="n">
        <x:f>'Raw Labour'!I5</x:f>
        <x:v>0</x:v>
      </x:c>
      <x:c r="H5" s="13" t="n">
        <x:f>C5-D5-G5+(E5-F5)*'Raw Labour'!K5</x:f>
        <x:v>210</x:v>
      </x:c>
      <x:c r="I5" s="13" t="n">
        <x:f>'Raw Labour'!J5</x:f>
        <x:v>245.7142857142857</x:v>
      </x:c>
      <x:c r="J5" s="13" t="n">
        <x:f>MAX(0,H5-I5)</x:f>
        <x:v>0</x:v>
      </x:c>
      <x:c r="K5" s="12" t="n">
        <x:f>MIN(1,I5/H5)</x:f>
        <x:v>1</x:v>
      </x:c>
    </x:row>
    <x:row r="6" ht="22" customHeight="1">
      <x:c r="A6" s="5" t="n">
        <x:f>'Raw Labour'!A6</x:f>
        <x:v>20250603</x:v>
      </x:c>
      <x:c r="B6" s="5" t="str">
        <x:f>IF(TRIM(LOWER('Raw Labour'!C6))="delivery","DEL",IF(TRIM(LOWER('Raw Labour'!C6))="recycling","REC",IF(TRIM(LOWER('Raw Labour'!C6))="picking","PCK","UNMAPPED")))</x:f>
        <x:v>REC</x:v>
      </x:c>
      <x:c r="C6" s="13" t="n">
        <x:f>'Raw Labour'!D6*'Raw Labour'!E6</x:f>
        <x:v>90</x:v>
      </x:c>
      <x:c r="D6" s="13" t="n">
        <x:f>'Raw Labour'!F6</x:f>
        <x:v>0</x:v>
      </x:c>
      <x:c r="E6" s="13" t="n">
        <x:f>'Raw Labour'!G6</x:f>
        <x:v>0</x:v>
      </x:c>
      <x:c r="F6" s="13" t="n">
        <x:f>'Raw Labour'!H6</x:f>
        <x:v>0</x:v>
      </x:c>
      <x:c r="G6" s="13" t="n">
        <x:f>'Raw Labour'!I6</x:f>
        <x:v>0</x:v>
      </x:c>
      <x:c r="H6" s="13" t="n">
        <x:f>C6-D6-G6+(E6-F6)*'Raw Labour'!K6</x:f>
        <x:v>90</x:v>
      </x:c>
      <x:c r="I6" s="13" t="n">
        <x:f>'Raw Labour'!J6</x:f>
        <x:v>78</x:v>
      </x:c>
      <x:c r="J6" s="13" t="n">
        <x:f>MAX(0,H6-I6)</x:f>
        <x:v>12</x:v>
      </x:c>
      <x:c r="K6" s="12" t="n">
        <x:f>MIN(1,I6/H6)</x:f>
        <x:v>0.8666666666666667</x:v>
      </x:c>
    </x:row>
    <x:row r="7" ht="22" customHeight="1">
      <x:c r="A7" s="5" t="n">
        <x:f>'Raw Labour'!A7</x:f>
        <x:v>20250603</x:v>
      </x:c>
      <x:c r="B7" s="5" t="str">
        <x:f>IF(TRIM(LOWER('Raw Labour'!C7))="delivery","DEL",IF(TRIM(LOWER('Raw Labour'!C7))="recycling","REC",IF(TRIM(LOWER('Raw Labour'!C7))="picking","PCK","UNMAPPED")))</x:f>
        <x:v>PCK</x:v>
      </x:c>
      <x:c r="C7" s="13" t="n">
        <x:f>'Raw Labour'!D7*'Raw Labour'!E7</x:f>
        <x:v>180</x:v>
      </x:c>
      <x:c r="D7" s="13" t="n">
        <x:f>'Raw Labour'!F7</x:f>
        <x:v>0</x:v>
      </x:c>
      <x:c r="E7" s="13" t="n">
        <x:f>'Raw Labour'!G7</x:f>
        <x:v>0</x:v>
      </x:c>
      <x:c r="F7" s="13" t="n">
        <x:f>'Raw Labour'!H7</x:f>
        <x:v>0</x:v>
      </x:c>
      <x:c r="G7" s="13" t="n">
        <x:f>'Raw Labour'!I7</x:f>
        <x:v>0</x:v>
      </x:c>
      <x:c r="H7" s="13" t="n">
        <x:f>C7-D7-G7+(E7-F7)*'Raw Labour'!K7</x:f>
        <x:v>180</x:v>
      </x:c>
      <x:c r="I7" s="13" t="n">
        <x:f>'Raw Labour'!J7</x:f>
        <x:v>165</x:v>
      </x:c>
      <x:c r="J7" s="13" t="n">
        <x:f>MAX(0,H7-I7)</x:f>
        <x:v>15</x:v>
      </x:c>
      <x:c r="K7" s="12" t="n">
        <x:f>MIN(1,I7/H7)</x:f>
        <x:v>0.9166666666666666</x:v>
      </x:c>
    </x:row>
    <x:row r="8" ht="22" customHeight="1">
      <x:c r="A8" s="5" t="n">
        <x:f>'Raw Labour'!A8</x:f>
        <x:v>20250604</x:v>
      </x:c>
      <x:c r="B8" s="5" t="str">
        <x:f>IF(TRIM(LOWER('Raw Labour'!C8))="delivery","DEL",IF(TRIM(LOWER('Raw Labour'!C8))="recycling","REC",IF(TRIM(LOWER('Raw Labour'!C8))="picking","PCK","UNMAPPED")))</x:f>
        <x:v>DEL</x:v>
      </x:c>
      <x:c r="C8" s="13" t="n">
        <x:f>'Raw Labour'!D8*'Raw Labour'!E8</x:f>
        <x:v>210</x:v>
      </x:c>
      <x:c r="D8" s="13" t="n">
        <x:f>'Raw Labour'!F8</x:f>
        <x:v>0</x:v>
      </x:c>
      <x:c r="E8" s="13" t="n">
        <x:f>'Raw Labour'!G8</x:f>
        <x:v>0</x:v>
      </x:c>
      <x:c r="F8" s="13" t="n">
        <x:f>'Raw Labour'!H8</x:f>
        <x:v>0</x:v>
      </x:c>
      <x:c r="G8" s="13" t="n">
        <x:f>'Raw Labour'!I8</x:f>
        <x:v>0</x:v>
      </x:c>
      <x:c r="H8" s="13" t="n">
        <x:f>C8-D8-G8+(E8-F8)*'Raw Labour'!K8</x:f>
        <x:v>210</x:v>
      </x:c>
      <x:c r="I8" s="13" t="n">
        <x:f>'Raw Labour'!J8</x:f>
        <x:v>247.34693877551018</x:v>
      </x:c>
      <x:c r="J8" s="13" t="n">
        <x:f>MAX(0,H8-I8)</x:f>
        <x:v>0</x:v>
      </x:c>
      <x:c r="K8" s="12" t="n">
        <x:f>MIN(1,I8/H8)</x:f>
        <x:v>1</x:v>
      </x:c>
    </x:row>
    <x:row r="9" ht="22" customHeight="1">
      <x:c r="A9" s="5" t="n">
        <x:f>'Raw Labour'!A9</x:f>
        <x:v>20250604</x:v>
      </x:c>
      <x:c r="B9" s="5" t="str">
        <x:f>IF(TRIM(LOWER('Raw Labour'!C9))="delivery","DEL",IF(TRIM(LOWER('Raw Labour'!C9))="recycling","REC",IF(TRIM(LOWER('Raw Labour'!C9))="picking","PCK","UNMAPPED")))</x:f>
        <x:v>REC</x:v>
      </x:c>
      <x:c r="C9" s="13" t="n">
        <x:f>'Raw Labour'!D9*'Raw Labour'!E9</x:f>
        <x:v>90</x:v>
      </x:c>
      <x:c r="D9" s="13" t="n">
        <x:f>'Raw Labour'!F9</x:f>
        <x:v>0</x:v>
      </x:c>
      <x:c r="E9" s="13" t="n">
        <x:f>'Raw Labour'!G9</x:f>
        <x:v>0</x:v>
      </x:c>
      <x:c r="F9" s="13" t="n">
        <x:f>'Raw Labour'!H9</x:f>
        <x:v>0</x:v>
      </x:c>
      <x:c r="G9" s="13" t="n">
        <x:f>'Raw Labour'!I9</x:f>
        <x:v>0</x:v>
      </x:c>
      <x:c r="H9" s="13" t="n">
        <x:f>C9-D9-G9+(E9-F9)*'Raw Labour'!K9</x:f>
        <x:v>90</x:v>
      </x:c>
      <x:c r="I9" s="13" t="n">
        <x:f>'Raw Labour'!J9</x:f>
        <x:v>78</x:v>
      </x:c>
      <x:c r="J9" s="13" t="n">
        <x:f>MAX(0,H9-I9)</x:f>
        <x:v>12</x:v>
      </x:c>
      <x:c r="K9" s="12" t="n">
        <x:f>MIN(1,I9/H9)</x:f>
        <x:v>0.8666666666666667</x:v>
      </x:c>
    </x:row>
    <x:row r="10" ht="22" customHeight="1">
      <x:c r="A10" s="5" t="n">
        <x:f>'Raw Labour'!A10</x:f>
        <x:v>20250604</x:v>
      </x:c>
      <x:c r="B10" s="5" t="str">
        <x:f>IF(TRIM(LOWER('Raw Labour'!C10))="delivery","DEL",IF(TRIM(LOWER('Raw Labour'!C10))="recycling","REC",IF(TRIM(LOWER('Raw Labour'!C10))="picking","PCK","UNMAPPED")))</x:f>
        <x:v>PCK</x:v>
      </x:c>
      <x:c r="C10" s="13" t="n">
        <x:f>'Raw Labour'!D10*'Raw Labour'!E10</x:f>
        <x:v>180</x:v>
      </x:c>
      <x:c r="D10" s="13" t="n">
        <x:f>'Raw Labour'!F10</x:f>
        <x:v>0</x:v>
      </x:c>
      <x:c r="E10" s="13" t="n">
        <x:f>'Raw Labour'!G10</x:f>
        <x:v>0</x:v>
      </x:c>
      <x:c r="F10" s="13" t="n">
        <x:f>'Raw Labour'!H10</x:f>
        <x:v>0</x:v>
      </x:c>
      <x:c r="G10" s="13" t="n">
        <x:f>'Raw Labour'!I10</x:f>
        <x:v>0</x:v>
      </x:c>
      <x:c r="H10" s="13" t="n">
        <x:f>C10-D10-G10+(E10-F10)*'Raw Labour'!K10</x:f>
        <x:v>180</x:v>
      </x:c>
      <x:c r="I10" s="13" t="n">
        <x:f>'Raw Labour'!J10</x:f>
        <x:v>165</x:v>
      </x:c>
      <x:c r="J10" s="13" t="n">
        <x:f>MAX(0,H10-I10)</x:f>
        <x:v>15</x:v>
      </x:c>
      <x:c r="K10" s="12" t="n">
        <x:f>MIN(1,I10/H10)</x:f>
        <x:v>0.9166666666666666</x:v>
      </x:c>
    </x:row>
    <x:row r="11" ht="22" customHeight="1">
      <x:c r="A11" s="5" t="n">
        <x:f>'Raw Labour'!A11</x:f>
        <x:v>20250605</x:v>
      </x:c>
      <x:c r="B11" s="5" t="str">
        <x:f>IF(TRIM(LOWER('Raw Labour'!C11))="delivery","DEL",IF(TRIM(LOWER('Raw Labour'!C11))="recycling","REC",IF(TRIM(LOWER('Raw Labour'!C11))="picking","PCK","UNMAPPED")))</x:f>
        <x:v>DEL</x:v>
      </x:c>
      <x:c r="C11" s="13" t="n">
        <x:f>'Raw Labour'!D11*'Raw Labour'!E11</x:f>
        <x:v>210</x:v>
      </x:c>
      <x:c r="D11" s="13" t="n">
        <x:f>'Raw Labour'!F11</x:f>
        <x:v>0</x:v>
      </x:c>
      <x:c r="E11" s="13" t="n">
        <x:f>'Raw Labour'!G11</x:f>
        <x:v>0</x:v>
      </x:c>
      <x:c r="F11" s="13" t="n">
        <x:f>'Raw Labour'!H11</x:f>
        <x:v>0</x:v>
      </x:c>
      <x:c r="G11" s="13" t="n">
        <x:f>'Raw Labour'!I11</x:f>
        <x:v>0</x:v>
      </x:c>
      <x:c r="H11" s="13" t="n">
        <x:f>C11-D11-G11+(E11-F11)*'Raw Labour'!K11</x:f>
        <x:v>210</x:v>
      </x:c>
      <x:c r="I11" s="13" t="n">
        <x:f>'Raw Labour'!J11</x:f>
        <x:v>238.77551020408163</x:v>
      </x:c>
      <x:c r="J11" s="13" t="n">
        <x:f>MAX(0,H11-I11)</x:f>
        <x:v>0</x:v>
      </x:c>
      <x:c r="K11" s="12" t="n">
        <x:f>MIN(1,I11/H11)</x:f>
        <x:v>1</x:v>
      </x:c>
    </x:row>
    <x:row r="12" ht="22" customHeight="1">
      <x:c r="A12" s="5" t="n">
        <x:f>'Raw Labour'!A12</x:f>
        <x:v>20250605</x:v>
      </x:c>
      <x:c r="B12" s="5" t="str">
        <x:f>IF(TRIM(LOWER('Raw Labour'!C12))="delivery","DEL",IF(TRIM(LOWER('Raw Labour'!C12))="recycling","REC",IF(TRIM(LOWER('Raw Labour'!C12))="picking","PCK","UNMAPPED")))</x:f>
        <x:v>REC</x:v>
      </x:c>
      <x:c r="C12" s="13" t="n">
        <x:f>'Raw Labour'!D12*'Raw Labour'!E12</x:f>
        <x:v>90</x:v>
      </x:c>
      <x:c r="D12" s="13" t="n">
        <x:f>'Raw Labour'!F12</x:f>
        <x:v>0</x:v>
      </x:c>
      <x:c r="E12" s="13" t="n">
        <x:f>'Raw Labour'!G12</x:f>
        <x:v>0</x:v>
      </x:c>
      <x:c r="F12" s="13" t="n">
        <x:f>'Raw Labour'!H12</x:f>
        <x:v>0</x:v>
      </x:c>
      <x:c r="G12" s="13" t="n">
        <x:f>'Raw Labour'!I12</x:f>
        <x:v>0</x:v>
      </x:c>
      <x:c r="H12" s="13" t="n">
        <x:f>C12-D12-G12+(E12-F12)*'Raw Labour'!K12</x:f>
        <x:v>90</x:v>
      </x:c>
      <x:c r="I12" s="13" t="n">
        <x:f>'Raw Labour'!J12</x:f>
        <x:v>78</x:v>
      </x:c>
      <x:c r="J12" s="13" t="n">
        <x:f>MAX(0,H12-I12)</x:f>
        <x:v>12</x:v>
      </x:c>
      <x:c r="K12" s="12" t="n">
        <x:f>MIN(1,I12/H12)</x:f>
        <x:v>0.8666666666666667</x:v>
      </x:c>
    </x:row>
    <x:row r="13" ht="22" customHeight="1">
      <x:c r="A13" s="5" t="n">
        <x:f>'Raw Labour'!A13</x:f>
        <x:v>20250605</x:v>
      </x:c>
      <x:c r="B13" s="5" t="str">
        <x:f>IF(TRIM(LOWER('Raw Labour'!C13))="delivery","DEL",IF(TRIM(LOWER('Raw Labour'!C13))="recycling","REC",IF(TRIM(LOWER('Raw Labour'!C13))="picking","PCK","UNMAPPED")))</x:f>
        <x:v>PCK</x:v>
      </x:c>
      <x:c r="C13" s="13" t="n">
        <x:f>'Raw Labour'!D13*'Raw Labour'!E13</x:f>
        <x:v>180</x:v>
      </x:c>
      <x:c r="D13" s="13" t="n">
        <x:f>'Raw Labour'!F13</x:f>
        <x:v>0</x:v>
      </x:c>
      <x:c r="E13" s="13" t="n">
        <x:f>'Raw Labour'!G13</x:f>
        <x:v>0</x:v>
      </x:c>
      <x:c r="F13" s="13" t="n">
        <x:f>'Raw Labour'!H13</x:f>
        <x:v>0</x:v>
      </x:c>
      <x:c r="G13" s="13" t="n">
        <x:f>'Raw Labour'!I13</x:f>
        <x:v>0</x:v>
      </x:c>
      <x:c r="H13" s="13" t="n">
        <x:f>C13-D13-G13+(E13-F13)*'Raw Labour'!K13</x:f>
        <x:v>180</x:v>
      </x:c>
      <x:c r="I13" s="13" t="n">
        <x:f>'Raw Labour'!J13</x:f>
        <x:v>165</x:v>
      </x:c>
      <x:c r="J13" s="13" t="n">
        <x:f>MAX(0,H13-I13)</x:f>
        <x:v>15</x:v>
      </x:c>
      <x:c r="K13" s="12" t="n">
        <x:f>MIN(1,I13/H13)</x:f>
        <x:v>0.9166666666666666</x:v>
      </x:c>
    </x:row>
    <x:row r="14" ht="22" customHeight="1">
      <x:c r="A14" s="5" t="n">
        <x:f>'Raw Labour'!A14</x:f>
        <x:v>20250606</x:v>
      </x:c>
      <x:c r="B14" s="5" t="str">
        <x:f>IF(TRIM(LOWER('Raw Labour'!C14))="delivery","DEL",IF(TRIM(LOWER('Raw Labour'!C14))="recycling","REC",IF(TRIM(LOWER('Raw Labour'!C14))="picking","PCK","UNMAPPED")))</x:f>
        <x:v>DEL</x:v>
      </x:c>
      <x:c r="C14" s="13" t="n">
        <x:f>'Raw Labour'!D14*'Raw Labour'!E14</x:f>
        <x:v>210</x:v>
      </x:c>
      <x:c r="D14" s="13" t="n">
        <x:f>'Raw Labour'!F14</x:f>
        <x:v>0</x:v>
      </x:c>
      <x:c r="E14" s="13" t="n">
        <x:f>'Raw Labour'!G14</x:f>
        <x:v>0</x:v>
      </x:c>
      <x:c r="F14" s="13" t="n">
        <x:f>'Raw Labour'!H14</x:f>
        <x:v>0</x:v>
      </x:c>
      <x:c r="G14" s="13" t="n">
        <x:f>'Raw Labour'!I14</x:f>
        <x:v>0</x:v>
      </x:c>
      <x:c r="H14" s="13" t="n">
        <x:f>C14-D14-G14+(E14-F14)*'Raw Labour'!K14</x:f>
        <x:v>210</x:v>
      </x:c>
      <x:c r="I14" s="13" t="n">
        <x:f>'Raw Labour'!J14</x:f>
        <x:v>235.1020408163265</x:v>
      </x:c>
      <x:c r="J14" s="13" t="n">
        <x:f>MAX(0,H14-I14)</x:f>
        <x:v>0</x:v>
      </x:c>
      <x:c r="K14" s="12" t="n">
        <x:f>MIN(1,I14/H14)</x:f>
        <x:v>1</x:v>
      </x:c>
    </x:row>
    <x:row r="15" ht="22" customHeight="1">
      <x:c r="A15" s="5" t="n">
        <x:f>'Raw Labour'!A15</x:f>
        <x:v>20250606</x:v>
      </x:c>
      <x:c r="B15" s="5" t="str">
        <x:f>IF(TRIM(LOWER('Raw Labour'!C15))="delivery","DEL",IF(TRIM(LOWER('Raw Labour'!C15))="recycling","REC",IF(TRIM(LOWER('Raw Labour'!C15))="picking","PCK","UNMAPPED")))</x:f>
        <x:v>REC</x:v>
      </x:c>
      <x:c r="C15" s="13" t="n">
        <x:f>'Raw Labour'!D15*'Raw Labour'!E15</x:f>
        <x:v>90</x:v>
      </x:c>
      <x:c r="D15" s="13" t="n">
        <x:f>'Raw Labour'!F15</x:f>
        <x:v>0</x:v>
      </x:c>
      <x:c r="E15" s="13" t="n">
        <x:f>'Raw Labour'!G15</x:f>
        <x:v>0</x:v>
      </x:c>
      <x:c r="F15" s="13" t="n">
        <x:f>'Raw Labour'!H15</x:f>
        <x:v>0</x:v>
      </x:c>
      <x:c r="G15" s="13" t="n">
        <x:f>'Raw Labour'!I15</x:f>
        <x:v>0</x:v>
      </x:c>
      <x:c r="H15" s="13" t="n">
        <x:f>C15-D15-G15+(E15-F15)*'Raw Labour'!K15</x:f>
        <x:v>90</x:v>
      </x:c>
      <x:c r="I15" s="13" t="n">
        <x:f>'Raw Labour'!J15</x:f>
        <x:v>78</x:v>
      </x:c>
      <x:c r="J15" s="13" t="n">
        <x:f>MAX(0,H15-I15)</x:f>
        <x:v>12</x:v>
      </x:c>
      <x:c r="K15" s="12" t="n">
        <x:f>MIN(1,I15/H15)</x:f>
        <x:v>0.8666666666666667</x:v>
      </x:c>
    </x:row>
    <x:row r="16" ht="22" customHeight="1">
      <x:c r="A16" s="5" t="n">
        <x:f>'Raw Labour'!A16</x:f>
        <x:v>20250606</x:v>
      </x:c>
      <x:c r="B16" s="5" t="str">
        <x:f>IF(TRIM(LOWER('Raw Labour'!C16))="delivery","DEL",IF(TRIM(LOWER('Raw Labour'!C16))="recycling","REC",IF(TRIM(LOWER('Raw Labour'!C16))="picking","PCK","UNMAPPED")))</x:f>
        <x:v>PCK</x:v>
      </x:c>
      <x:c r="C16" s="13" t="n">
        <x:f>'Raw Labour'!D16*'Raw Labour'!E16</x:f>
        <x:v>180</x:v>
      </x:c>
      <x:c r="D16" s="13" t="n">
        <x:f>'Raw Labour'!F16</x:f>
        <x:v>0</x:v>
      </x:c>
      <x:c r="E16" s="13" t="n">
        <x:f>'Raw Labour'!G16</x:f>
        <x:v>0</x:v>
      </x:c>
      <x:c r="F16" s="13" t="n">
        <x:f>'Raw Labour'!H16</x:f>
        <x:v>0</x:v>
      </x:c>
      <x:c r="G16" s="13" t="n">
        <x:f>'Raw Labour'!I16</x:f>
        <x:v>0</x:v>
      </x:c>
      <x:c r="H16" s="13" t="n">
        <x:f>C16-D16-G16+(E16-F16)*'Raw Labour'!K16</x:f>
        <x:v>180</x:v>
      </x:c>
      <x:c r="I16" s="13" t="n">
        <x:f>'Raw Labour'!J16</x:f>
        <x:v>165</x:v>
      </x:c>
      <x:c r="J16" s="13" t="n">
        <x:f>MAX(0,H16-I16)</x:f>
        <x:v>15</x:v>
      </x:c>
      <x:c r="K16" s="12" t="n">
        <x:f>MIN(1,I16/H16)</x:f>
        <x:v>0.9166666666666666</x:v>
      </x:c>
    </x:row>
    <x:row r="17" ht="22" customHeight="1">
      <x:c r="A17" s="5" t="n">
        <x:f>'Raw Labour'!A17</x:f>
        <x:v>20250607</x:v>
      </x:c>
      <x:c r="B17" s="5" t="str">
        <x:f>IF(TRIM(LOWER('Raw Labour'!C17))="delivery","DEL",IF(TRIM(LOWER('Raw Labour'!C17))="recycling","REC",IF(TRIM(LOWER('Raw Labour'!C17))="picking","PCK","UNMAPPED")))</x:f>
        <x:v>DEL</x:v>
      </x:c>
      <x:c r="C17" s="13" t="n">
        <x:f>'Raw Labour'!D17*'Raw Labour'!E17</x:f>
        <x:v>210</x:v>
      </x:c>
      <x:c r="D17" s="13" t="n">
        <x:f>'Raw Labour'!F17</x:f>
        <x:v>0</x:v>
      </x:c>
      <x:c r="E17" s="13" t="n">
        <x:f>'Raw Labour'!G17</x:f>
        <x:v>0</x:v>
      </x:c>
      <x:c r="F17" s="13" t="n">
        <x:f>'Raw Labour'!H17</x:f>
        <x:v>0</x:v>
      </x:c>
      <x:c r="G17" s="13" t="n">
        <x:f>'Raw Labour'!I17</x:f>
        <x:v>0</x:v>
      </x:c>
      <x:c r="H17" s="13" t="n">
        <x:f>C17-D17-G17+(E17-F17)*'Raw Labour'!K17</x:f>
        <x:v>210</x:v>
      </x:c>
      <x:c r="I17" s="13" t="n">
        <x:f>'Raw Labour'!J17</x:f>
        <x:v>223.26530612244898</x:v>
      </x:c>
      <x:c r="J17" s="13" t="n">
        <x:f>MAX(0,H17-I17)</x:f>
        <x:v>0</x:v>
      </x:c>
      <x:c r="K17" s="12" t="n">
        <x:f>MIN(1,I17/H17)</x:f>
        <x:v>1</x:v>
      </x:c>
    </x:row>
    <x:row r="18" ht="22" customHeight="1">
      <x:c r="A18" s="5" t="n">
        <x:f>'Raw Labour'!A18</x:f>
        <x:v>20250607</x:v>
      </x:c>
      <x:c r="B18" s="5" t="str">
        <x:f>IF(TRIM(LOWER('Raw Labour'!C18))="delivery","DEL",IF(TRIM(LOWER('Raw Labour'!C18))="recycling","REC",IF(TRIM(LOWER('Raw Labour'!C18))="picking","PCK","UNMAPPED")))</x:f>
        <x:v>REC</x:v>
      </x:c>
      <x:c r="C18" s="13" t="n">
        <x:f>'Raw Labour'!D18*'Raw Labour'!E18</x:f>
        <x:v>90</x:v>
      </x:c>
      <x:c r="D18" s="13" t="n">
        <x:f>'Raw Labour'!F18</x:f>
        <x:v>0</x:v>
      </x:c>
      <x:c r="E18" s="13" t="n">
        <x:f>'Raw Labour'!G18</x:f>
        <x:v>0</x:v>
      </x:c>
      <x:c r="F18" s="13" t="n">
        <x:f>'Raw Labour'!H18</x:f>
        <x:v>0</x:v>
      </x:c>
      <x:c r="G18" s="13" t="n">
        <x:f>'Raw Labour'!I18</x:f>
        <x:v>0</x:v>
      </x:c>
      <x:c r="H18" s="13" t="n">
        <x:f>C18-D18-G18+(E18-F18)*'Raw Labour'!K18</x:f>
        <x:v>90</x:v>
      </x:c>
      <x:c r="I18" s="13" t="n">
        <x:f>'Raw Labour'!J18</x:f>
        <x:v>78</x:v>
      </x:c>
      <x:c r="J18" s="13" t="n">
        <x:f>MAX(0,H18-I18)</x:f>
        <x:v>12</x:v>
      </x:c>
      <x:c r="K18" s="12" t="n">
        <x:f>MIN(1,I18/H18)</x:f>
        <x:v>0.8666666666666667</x:v>
      </x:c>
    </x:row>
    <x:row r="19" ht="22" customHeight="1">
      <x:c r="A19" s="5" t="n">
        <x:f>'Raw Labour'!A19</x:f>
        <x:v>20250607</x:v>
      </x:c>
      <x:c r="B19" s="5" t="str">
        <x:f>IF(TRIM(LOWER('Raw Labour'!C19))="delivery","DEL",IF(TRIM(LOWER('Raw Labour'!C19))="recycling","REC",IF(TRIM(LOWER('Raw Labour'!C19))="picking","PCK","UNMAPPED")))</x:f>
        <x:v>PCK</x:v>
      </x:c>
      <x:c r="C19" s="13" t="n">
        <x:f>'Raw Labour'!D19*'Raw Labour'!E19</x:f>
        <x:v>180</x:v>
      </x:c>
      <x:c r="D19" s="13" t="n">
        <x:f>'Raw Labour'!F19</x:f>
        <x:v>0</x:v>
      </x:c>
      <x:c r="E19" s="13" t="n">
        <x:f>'Raw Labour'!G19</x:f>
        <x:v>0</x:v>
      </x:c>
      <x:c r="F19" s="13" t="n">
        <x:f>'Raw Labour'!H19</x:f>
        <x:v>0</x:v>
      </x:c>
      <x:c r="G19" s="13" t="n">
        <x:f>'Raw Labour'!I19</x:f>
        <x:v>0</x:v>
      </x:c>
      <x:c r="H19" s="13" t="n">
        <x:f>C19-D19-G19+(E19-F19)*'Raw Labour'!K19</x:f>
        <x:v>180</x:v>
      </x:c>
      <x:c r="I19" s="13" t="n">
        <x:f>'Raw Labour'!J19</x:f>
        <x:v>165</x:v>
      </x:c>
      <x:c r="J19" s="13" t="n">
        <x:f>MAX(0,H19-I19)</x:f>
        <x:v>15</x:v>
      </x:c>
      <x:c r="K19" s="12" t="n">
        <x:f>MIN(1,I19/H19)</x:f>
        <x:v>0.9166666666666666</x:v>
      </x:c>
    </x:row>
    <x:row r="20" ht="22" customHeight="1">
      <x:c r="A20" s="5" t="n">
        <x:f>'Raw Labour'!A20</x:f>
        <x:v>20250608</x:v>
      </x:c>
      <x:c r="B20" s="5" t="str">
        <x:f>IF(TRIM(LOWER('Raw Labour'!C20))="delivery","DEL",IF(TRIM(LOWER('Raw Labour'!C20))="recycling","REC",IF(TRIM(LOWER('Raw Labour'!C20))="picking","PCK","UNMAPPED")))</x:f>
        <x:v>DEL</x:v>
      </x:c>
      <x:c r="C20" s="13" t="n">
        <x:f>'Raw Labour'!D20*'Raw Labour'!E20</x:f>
        <x:v>210</x:v>
      </x:c>
      <x:c r="D20" s="13" t="n">
        <x:f>'Raw Labour'!F20</x:f>
        <x:v>0</x:v>
      </x:c>
      <x:c r="E20" s="13" t="n">
        <x:f>'Raw Labour'!G20</x:f>
        <x:v>0</x:v>
      </x:c>
      <x:c r="F20" s="13" t="n">
        <x:f>'Raw Labour'!H20</x:f>
        <x:v>0</x:v>
      </x:c>
      <x:c r="G20" s="13" t="n">
        <x:f>'Raw Labour'!I20</x:f>
        <x:v>0</x:v>
      </x:c>
      <x:c r="H20" s="13" t="n">
        <x:f>C20-D20-G20+(E20-F20)*'Raw Labour'!K20</x:f>
        <x:v>210</x:v>
      </x:c>
      <x:c r="I20" s="13" t="n">
        <x:f>'Raw Labour'!J20</x:f>
        <x:v>218.77551020408163</x:v>
      </x:c>
      <x:c r="J20" s="13" t="n">
        <x:f>MAX(0,H20-I20)</x:f>
        <x:v>0</x:v>
      </x:c>
      <x:c r="K20" s="12" t="n">
        <x:f>MIN(1,I20/H20)</x:f>
        <x:v>1</x:v>
      </x:c>
    </x:row>
    <x:row r="21" ht="22" customHeight="1">
      <x:c r="A21" s="5" t="n">
        <x:f>'Raw Labour'!A21</x:f>
        <x:v>20250608</x:v>
      </x:c>
      <x:c r="B21" s="5" t="str">
        <x:f>IF(TRIM(LOWER('Raw Labour'!C21))="delivery","DEL",IF(TRIM(LOWER('Raw Labour'!C21))="recycling","REC",IF(TRIM(LOWER('Raw Labour'!C21))="picking","PCK","UNMAPPED")))</x:f>
        <x:v>REC</x:v>
      </x:c>
      <x:c r="C21" s="13" t="n">
        <x:f>'Raw Labour'!D21*'Raw Labour'!E21</x:f>
        <x:v>90</x:v>
      </x:c>
      <x:c r="D21" s="13" t="n">
        <x:f>'Raw Labour'!F21</x:f>
        <x:v>0</x:v>
      </x:c>
      <x:c r="E21" s="13" t="n">
        <x:f>'Raw Labour'!G21</x:f>
        <x:v>0</x:v>
      </x:c>
      <x:c r="F21" s="13" t="n">
        <x:f>'Raw Labour'!H21</x:f>
        <x:v>0</x:v>
      </x:c>
      <x:c r="G21" s="13" t="n">
        <x:f>'Raw Labour'!I21</x:f>
        <x:v>0</x:v>
      </x:c>
      <x:c r="H21" s="13" t="n">
        <x:f>C21-D21-G21+(E21-F21)*'Raw Labour'!K21</x:f>
        <x:v>90</x:v>
      </x:c>
      <x:c r="I21" s="13" t="n">
        <x:f>'Raw Labour'!J21</x:f>
        <x:v>78</x:v>
      </x:c>
      <x:c r="J21" s="13" t="n">
        <x:f>MAX(0,H21-I21)</x:f>
        <x:v>12</x:v>
      </x:c>
      <x:c r="K21" s="12" t="n">
        <x:f>MIN(1,I21/H21)</x:f>
        <x:v>0.8666666666666667</x:v>
      </x:c>
    </x:row>
    <x:row r="22" ht="22" customHeight="1">
      <x:c r="A22" s="5" t="n">
        <x:f>'Raw Labour'!A22</x:f>
        <x:v>20250608</x:v>
      </x:c>
      <x:c r="B22" s="5" t="str">
        <x:f>IF(TRIM(LOWER('Raw Labour'!C22))="delivery","DEL",IF(TRIM(LOWER('Raw Labour'!C22))="recycling","REC",IF(TRIM(LOWER('Raw Labour'!C22))="picking","PCK","UNMAPPED")))</x:f>
        <x:v>PCK</x:v>
      </x:c>
      <x:c r="C22" s="13" t="n">
        <x:f>'Raw Labour'!D22*'Raw Labour'!E22</x:f>
        <x:v>180</x:v>
      </x:c>
      <x:c r="D22" s="13" t="n">
        <x:f>'Raw Labour'!F22</x:f>
        <x:v>0</x:v>
      </x:c>
      <x:c r="E22" s="13" t="n">
        <x:f>'Raw Labour'!G22</x:f>
        <x:v>0</x:v>
      </x:c>
      <x:c r="F22" s="13" t="n">
        <x:f>'Raw Labour'!H22</x:f>
        <x:v>0</x:v>
      </x:c>
      <x:c r="G22" s="13" t="n">
        <x:f>'Raw Labour'!I22</x:f>
        <x:v>0</x:v>
      </x:c>
      <x:c r="H22" s="13" t="n">
        <x:f>C22-D22-G22+(E22-F22)*'Raw Labour'!K22</x:f>
        <x:v>180</x:v>
      </x:c>
      <x:c r="I22" s="13" t="n">
        <x:f>'Raw Labour'!J22</x:f>
        <x:v>165</x:v>
      </x:c>
      <x:c r="J22" s="13" t="n">
        <x:f>MAX(0,H22-I22)</x:f>
        <x:v>15</x:v>
      </x:c>
      <x:c r="K22" s="12" t="n">
        <x:f>MIN(1,I22/H22)</x:f>
        <x:v>0.9166666666666666</x:v>
      </x:c>
    </x:row>
    <x:row r="23" ht="22" customHeight="1">
      <x:c r="A23" s="5" t="n">
        <x:f>'Raw Labour'!A23</x:f>
        <x:v>20250609</x:v>
      </x:c>
      <x:c r="B23" s="5" t="str">
        <x:f>IF(TRIM(LOWER('Raw Labour'!C23))="delivery","DEL",IF(TRIM(LOWER('Raw Labour'!C23))="recycling","REC",IF(TRIM(LOWER('Raw Labour'!C23))="picking","PCK","UNMAPPED")))</x:f>
        <x:v>DEL</x:v>
      </x:c>
      <x:c r="C23" s="13" t="n">
        <x:f>'Raw Labour'!D23*'Raw Labour'!E23</x:f>
        <x:v>210</x:v>
      </x:c>
      <x:c r="D23" s="13" t="n">
        <x:f>'Raw Labour'!F23</x:f>
        <x:v>0</x:v>
      </x:c>
      <x:c r="E23" s="13" t="n">
        <x:f>'Raw Labour'!G23</x:f>
        <x:v>0</x:v>
      </x:c>
      <x:c r="F23" s="13" t="n">
        <x:f>'Raw Labour'!H23</x:f>
        <x:v>0</x:v>
      </x:c>
      <x:c r="G23" s="13" t="n">
        <x:f>'Raw Labour'!I23</x:f>
        <x:v>0</x:v>
      </x:c>
      <x:c r="H23" s="13" t="n">
        <x:f>C23-D23-G23+(E23-F23)*'Raw Labour'!K23</x:f>
        <x:v>210</x:v>
      </x:c>
      <x:c r="I23" s="13" t="n">
        <x:f>'Raw Labour'!J23</x:f>
        <x:v>244.6808510638298</x:v>
      </x:c>
      <x:c r="J23" s="13" t="n">
        <x:f>MAX(0,H23-I23)</x:f>
        <x:v>0</x:v>
      </x:c>
      <x:c r="K23" s="12" t="n">
        <x:f>MIN(1,I23/H23)</x:f>
        <x:v>1</x:v>
      </x:c>
    </x:row>
    <x:row r="24" ht="22" customHeight="1">
      <x:c r="A24" s="5" t="n">
        <x:f>'Raw Labour'!A24</x:f>
        <x:v>20250609</x:v>
      </x:c>
      <x:c r="B24" s="5" t="str">
        <x:f>IF(TRIM(LOWER('Raw Labour'!C24))="delivery","DEL",IF(TRIM(LOWER('Raw Labour'!C24))="recycling","REC",IF(TRIM(LOWER('Raw Labour'!C24))="picking","PCK","UNMAPPED")))</x:f>
        <x:v>REC</x:v>
      </x:c>
      <x:c r="C24" s="13" t="n">
        <x:f>'Raw Labour'!D24*'Raw Labour'!E24</x:f>
        <x:v>90</x:v>
      </x:c>
      <x:c r="D24" s="13" t="n">
        <x:f>'Raw Labour'!F24</x:f>
        <x:v>0</x:v>
      </x:c>
      <x:c r="E24" s="13" t="n">
        <x:f>'Raw Labour'!G24</x:f>
        <x:v>0</x:v>
      </x:c>
      <x:c r="F24" s="13" t="n">
        <x:f>'Raw Labour'!H24</x:f>
        <x:v>0</x:v>
      </x:c>
      <x:c r="G24" s="13" t="n">
        <x:f>'Raw Labour'!I24</x:f>
        <x:v>0</x:v>
      </x:c>
      <x:c r="H24" s="13" t="n">
        <x:f>C24-D24-G24+(E24-F24)*'Raw Labour'!K24</x:f>
        <x:v>90</x:v>
      </x:c>
      <x:c r="I24" s="13" t="n">
        <x:f>'Raw Labour'!J24</x:f>
        <x:v>40</x:v>
      </x:c>
      <x:c r="J24" s="13" t="n">
        <x:f>MAX(0,H24-I24)</x:f>
        <x:v>50</x:v>
      </x:c>
      <x:c r="K24" s="12" t="n">
        <x:f>MIN(1,I24/H24)</x:f>
        <x:v>0.4444444444444444</x:v>
      </x:c>
    </x:row>
    <x:row r="25" ht="22" customHeight="1">
      <x:c r="A25" s="5" t="n">
        <x:f>'Raw Labour'!A25</x:f>
        <x:v>20250609</x:v>
      </x:c>
      <x:c r="B25" s="5" t="str">
        <x:f>IF(TRIM(LOWER('Raw Labour'!C25))="delivery","DEL",IF(TRIM(LOWER('Raw Labour'!C25))="recycling","REC",IF(TRIM(LOWER('Raw Labour'!C25))="picking","PCK","UNMAPPED")))</x:f>
        <x:v>PCK</x:v>
      </x:c>
      <x:c r="C25" s="13" t="n">
        <x:f>'Raw Labour'!D25*'Raw Labour'!E25</x:f>
        <x:v>180</x:v>
      </x:c>
      <x:c r="D25" s="13" t="n">
        <x:f>'Raw Labour'!F25</x:f>
        <x:v>0</x:v>
      </x:c>
      <x:c r="E25" s="13" t="n">
        <x:f>'Raw Labour'!G25</x:f>
        <x:v>0</x:v>
      </x:c>
      <x:c r="F25" s="13" t="n">
        <x:f>'Raw Labour'!H25</x:f>
        <x:v>0</x:v>
      </x:c>
      <x:c r="G25" s="13" t="n">
        <x:f>'Raw Labour'!I25</x:f>
        <x:v>0</x:v>
      </x:c>
      <x:c r="H25" s="13" t="n">
        <x:f>C25-D25-G25+(E25-F25)*'Raw Labour'!K25</x:f>
        <x:v>180</x:v>
      </x:c>
      <x:c r="I25" s="13" t="n">
        <x:f>'Raw Labour'!J25</x:f>
        <x:v>154</x:v>
      </x:c>
      <x:c r="J25" s="13" t="n">
        <x:f>MAX(0,H25-I25)</x:f>
        <x:v>26</x:v>
      </x:c>
      <x:c r="K25" s="12" t="n">
        <x:f>MIN(1,I25/H25)</x:f>
        <x:v>0.8555555555555555</x:v>
      </x:c>
    </x:row>
    <x:row r="26" ht="22" customHeight="1">
      <x:c r="A26" s="5" t="n">
        <x:f>'Raw Labour'!A26</x:f>
        <x:v>20250610</x:v>
      </x:c>
      <x:c r="B26" s="5" t="str">
        <x:f>IF(TRIM(LOWER('Raw Labour'!C26))="delivery","DEL",IF(TRIM(LOWER('Raw Labour'!C26))="recycling","REC",IF(TRIM(LOWER('Raw Labour'!C26))="picking","PCK","UNMAPPED")))</x:f>
        <x:v>DEL</x:v>
      </x:c>
      <x:c r="C26" s="13" t="n">
        <x:f>'Raw Labour'!D26*'Raw Labour'!E26</x:f>
        <x:v>210</x:v>
      </x:c>
      <x:c r="D26" s="13" t="n">
        <x:f>'Raw Labour'!F26</x:f>
        <x:v>0</x:v>
      </x:c>
      <x:c r="E26" s="13" t="n">
        <x:f>'Raw Labour'!G26</x:f>
        <x:v>0</x:v>
      </x:c>
      <x:c r="F26" s="13" t="n">
        <x:f>'Raw Labour'!H26</x:f>
        <x:v>0</x:v>
      </x:c>
      <x:c r="G26" s="13" t="n">
        <x:f>'Raw Labour'!I26</x:f>
        <x:v>0</x:v>
      </x:c>
      <x:c r="H26" s="13" t="n">
        <x:f>C26-D26-G26+(E26-F26)*'Raw Labour'!K26</x:f>
        <x:v>210</x:v>
      </x:c>
      <x:c r="I26" s="13" t="n">
        <x:f>'Raw Labour'!J26</x:f>
        <x:v>278.72340425531917</x:v>
      </x:c>
      <x:c r="J26" s="13" t="n">
        <x:f>MAX(0,H26-I26)</x:f>
        <x:v>0</x:v>
      </x:c>
      <x:c r="K26" s="12" t="n">
        <x:f>MIN(1,I26/H26)</x:f>
        <x:v>1</x:v>
      </x:c>
    </x:row>
    <x:row r="27" ht="22" customHeight="1">
      <x:c r="A27" s="5" t="n">
        <x:f>'Raw Labour'!A27</x:f>
        <x:v>20250610</x:v>
      </x:c>
      <x:c r="B27" s="5" t="str">
        <x:f>IF(TRIM(LOWER('Raw Labour'!C27))="delivery","DEL",IF(TRIM(LOWER('Raw Labour'!C27))="recycling","REC",IF(TRIM(LOWER('Raw Labour'!C27))="picking","PCK","UNMAPPED")))</x:f>
        <x:v>REC</x:v>
      </x:c>
      <x:c r="C27" s="13" t="n">
        <x:f>'Raw Labour'!D27*'Raw Labour'!E27</x:f>
        <x:v>90</x:v>
      </x:c>
      <x:c r="D27" s="13" t="n">
        <x:f>'Raw Labour'!F27</x:f>
        <x:v>0</x:v>
      </x:c>
      <x:c r="E27" s="13" t="n">
        <x:f>'Raw Labour'!G27</x:f>
        <x:v>0</x:v>
      </x:c>
      <x:c r="F27" s="13" t="n">
        <x:f>'Raw Labour'!H27</x:f>
        <x:v>0</x:v>
      </x:c>
      <x:c r="G27" s="13" t="n">
        <x:f>'Raw Labour'!I27</x:f>
        <x:v>0</x:v>
      </x:c>
      <x:c r="H27" s="13" t="n">
        <x:f>C27-D27-G27+(E27-F27)*'Raw Labour'!K27</x:f>
        <x:v>90</x:v>
      </x:c>
      <x:c r="I27" s="13" t="n">
        <x:f>'Raw Labour'!J27</x:f>
        <x:v>40</x:v>
      </x:c>
      <x:c r="J27" s="13" t="n">
        <x:f>MAX(0,H27-I27)</x:f>
        <x:v>50</x:v>
      </x:c>
      <x:c r="K27" s="12" t="n">
        <x:f>MIN(1,I27/H27)</x:f>
        <x:v>0.4444444444444444</x:v>
      </x:c>
    </x:row>
    <x:row r="28" ht="22" customHeight="1">
      <x:c r="A28" s="5" t="n">
        <x:f>'Raw Labour'!A28</x:f>
        <x:v>20250610</x:v>
      </x:c>
      <x:c r="B28" s="5" t="str">
        <x:f>IF(TRIM(LOWER('Raw Labour'!C28))="delivery","DEL",IF(TRIM(LOWER('Raw Labour'!C28))="recycling","REC",IF(TRIM(LOWER('Raw Labour'!C28))="picking","PCK","UNMAPPED")))</x:f>
        <x:v>PCK</x:v>
      </x:c>
      <x:c r="C28" s="13" t="n">
        <x:f>'Raw Labour'!D28*'Raw Labour'!E28</x:f>
        <x:v>180</x:v>
      </x:c>
      <x:c r="D28" s="13" t="n">
        <x:f>'Raw Labour'!F28</x:f>
        <x:v>0</x:v>
      </x:c>
      <x:c r="E28" s="13" t="n">
        <x:f>'Raw Labour'!G28</x:f>
        <x:v>0</x:v>
      </x:c>
      <x:c r="F28" s="13" t="n">
        <x:f>'Raw Labour'!H28</x:f>
        <x:v>0</x:v>
      </x:c>
      <x:c r="G28" s="13" t="n">
        <x:f>'Raw Labour'!I28</x:f>
        <x:v>0</x:v>
      </x:c>
      <x:c r="H28" s="13" t="n">
        <x:f>C28-D28-G28+(E28-F28)*'Raw Labour'!K28</x:f>
        <x:v>180</x:v>
      </x:c>
      <x:c r="I28" s="13" t="n">
        <x:f>'Raw Labour'!J28</x:f>
        <x:v>154</x:v>
      </x:c>
      <x:c r="J28" s="13" t="n">
        <x:f>MAX(0,H28-I28)</x:f>
        <x:v>26</x:v>
      </x:c>
      <x:c r="K28" s="12" t="n">
        <x:f>MIN(1,I28/H28)</x:f>
        <x:v>0.8555555555555555</x:v>
      </x:c>
    </x:row>
    <x:row r="29" ht="22" customHeight="1">
      <x:c r="A29" s="5" t="n">
        <x:f>'Raw Labour'!A29</x:f>
        <x:v>20250611</x:v>
      </x:c>
      <x:c r="B29" s="5" t="str">
        <x:f>IF(TRIM(LOWER('Raw Labour'!C29))="delivery","DEL",IF(TRIM(LOWER('Raw Labour'!C29))="recycling","REC",IF(TRIM(LOWER('Raw Labour'!C29))="picking","PCK","UNMAPPED")))</x:f>
        <x:v>DEL</x:v>
      </x:c>
      <x:c r="C29" s="13" t="n">
        <x:f>'Raw Labour'!D29*'Raw Labour'!E29</x:f>
        <x:v>210</x:v>
      </x:c>
      <x:c r="D29" s="13" t="n">
        <x:f>'Raw Labour'!F29</x:f>
        <x:v>0</x:v>
      </x:c>
      <x:c r="E29" s="13" t="n">
        <x:f>'Raw Labour'!G29</x:f>
        <x:v>0</x:v>
      </x:c>
      <x:c r="F29" s="13" t="n">
        <x:f>'Raw Labour'!H29</x:f>
        <x:v>0</x:v>
      </x:c>
      <x:c r="G29" s="13" t="n">
        <x:f>'Raw Labour'!I29</x:f>
        <x:v>0</x:v>
      </x:c>
      <x:c r="H29" s="13" t="n">
        <x:f>C29-D29-G29+(E29-F29)*'Raw Labour'!K29</x:f>
        <x:v>210</x:v>
      </x:c>
      <x:c r="I29" s="13" t="n">
        <x:f>'Raw Labour'!J29</x:f>
        <x:v>318.0851063829787</x:v>
      </x:c>
      <x:c r="J29" s="13" t="n">
        <x:f>MAX(0,H29-I29)</x:f>
        <x:v>0</x:v>
      </x:c>
      <x:c r="K29" s="12" t="n">
        <x:f>MIN(1,I29/H29)</x:f>
        <x:v>1</x:v>
      </x:c>
    </x:row>
    <x:row r="30" ht="22" customHeight="1">
      <x:c r="A30" s="5" t="n">
        <x:f>'Raw Labour'!A30</x:f>
        <x:v>20250611</x:v>
      </x:c>
      <x:c r="B30" s="5" t="str">
        <x:f>IF(TRIM(LOWER('Raw Labour'!C30))="delivery","DEL",IF(TRIM(LOWER('Raw Labour'!C30))="recycling","REC",IF(TRIM(LOWER('Raw Labour'!C30))="picking","PCK","UNMAPPED")))</x:f>
        <x:v>REC</x:v>
      </x:c>
      <x:c r="C30" s="13" t="n">
        <x:f>'Raw Labour'!D30*'Raw Labour'!E30</x:f>
        <x:v>90</x:v>
      </x:c>
      <x:c r="D30" s="13" t="n">
        <x:f>'Raw Labour'!F30</x:f>
        <x:v>0</x:v>
      </x:c>
      <x:c r="E30" s="13" t="n">
        <x:f>'Raw Labour'!G30</x:f>
        <x:v>0</x:v>
      </x:c>
      <x:c r="F30" s="13" t="n">
        <x:f>'Raw Labour'!H30</x:f>
        <x:v>0</x:v>
      </x:c>
      <x:c r="G30" s="13" t="n">
        <x:f>'Raw Labour'!I30</x:f>
        <x:v>0</x:v>
      </x:c>
      <x:c r="H30" s="13" t="n">
        <x:f>C30-D30-G30+(E30-F30)*'Raw Labour'!K30</x:f>
        <x:v>90</x:v>
      </x:c>
      <x:c r="I30" s="13" t="n">
        <x:f>'Raw Labour'!J30</x:f>
        <x:v>40</x:v>
      </x:c>
      <x:c r="J30" s="13" t="n">
        <x:f>MAX(0,H30-I30)</x:f>
        <x:v>50</x:v>
      </x:c>
      <x:c r="K30" s="12" t="n">
        <x:f>MIN(1,I30/H30)</x:f>
        <x:v>0.4444444444444444</x:v>
      </x:c>
    </x:row>
    <x:row r="31" ht="22" customHeight="1">
      <x:c r="A31" s="5" t="n">
        <x:f>'Raw Labour'!A31</x:f>
        <x:v>20250611</x:v>
      </x:c>
      <x:c r="B31" s="5" t="str">
        <x:f>IF(TRIM(LOWER('Raw Labour'!C31))="delivery","DEL",IF(TRIM(LOWER('Raw Labour'!C31))="recycling","REC",IF(TRIM(LOWER('Raw Labour'!C31))="picking","PCK","UNMAPPED")))</x:f>
        <x:v>PCK</x:v>
      </x:c>
      <x:c r="C31" s="13" t="n">
        <x:f>'Raw Labour'!D31*'Raw Labour'!E31</x:f>
        <x:v>180</x:v>
      </x:c>
      <x:c r="D31" s="13" t="n">
        <x:f>'Raw Labour'!F31</x:f>
        <x:v>0</x:v>
      </x:c>
      <x:c r="E31" s="13" t="n">
        <x:f>'Raw Labour'!G31</x:f>
        <x:v>0</x:v>
      </x:c>
      <x:c r="F31" s="13" t="n">
        <x:f>'Raw Labour'!H31</x:f>
        <x:v>0</x:v>
      </x:c>
      <x:c r="G31" s="13" t="n">
        <x:f>'Raw Labour'!I31</x:f>
        <x:v>0</x:v>
      </x:c>
      <x:c r="H31" s="13" t="n">
        <x:f>C31-D31-G31+(E31-F31)*'Raw Labour'!K31</x:f>
        <x:v>180</x:v>
      </x:c>
      <x:c r="I31" s="13" t="n">
        <x:f>'Raw Labour'!J31</x:f>
        <x:v>154</x:v>
      </x:c>
      <x:c r="J31" s="13" t="n">
        <x:f>MAX(0,H31-I31)</x:f>
        <x:v>26</x:v>
      </x:c>
      <x:c r="K31" s="12" t="n">
        <x:f>MIN(1,I31/H31)</x:f>
        <x:v>0.8555555555555555</x:v>
      </x:c>
    </x:row>
    <x:row r="32" ht="22" customHeight="1">
      <x:c r="A32" s="5" t="n">
        <x:f>'Raw Labour'!A32</x:f>
        <x:v>20250612</x:v>
      </x:c>
      <x:c r="B32" s="5" t="str">
        <x:f>IF(TRIM(LOWER('Raw Labour'!C32))="delivery","DEL",IF(TRIM(LOWER('Raw Labour'!C32))="recycling","REC",IF(TRIM(LOWER('Raw Labour'!C32))="picking","PCK","UNMAPPED")))</x:f>
        <x:v>DEL</x:v>
      </x:c>
      <x:c r="C32" s="13" t="n">
        <x:f>'Raw Labour'!D32*'Raw Labour'!E32</x:f>
        <x:v>210</x:v>
      </x:c>
      <x:c r="D32" s="13" t="n">
        <x:f>'Raw Labour'!F32</x:f>
        <x:v>0</x:v>
      </x:c>
      <x:c r="E32" s="13" t="n">
        <x:f>'Raw Labour'!G32</x:f>
        <x:v>0</x:v>
      </x:c>
      <x:c r="F32" s="13" t="n">
        <x:f>'Raw Labour'!H32</x:f>
        <x:v>0</x:v>
      </x:c>
      <x:c r="G32" s="13" t="n">
        <x:f>'Raw Labour'!I32</x:f>
        <x:v>0</x:v>
      </x:c>
      <x:c r="H32" s="13" t="n">
        <x:f>C32-D32-G32+(E32-F32)*'Raw Labour'!K32</x:f>
        <x:v>210</x:v>
      </x:c>
      <x:c r="I32" s="13" t="n">
        <x:f>'Raw Labour'!J32</x:f>
        <x:v>344.1489361702128</x:v>
      </x:c>
      <x:c r="J32" s="13" t="n">
        <x:f>MAX(0,H32-I32)</x:f>
        <x:v>0</x:v>
      </x:c>
      <x:c r="K32" s="12" t="n">
        <x:f>MIN(1,I32/H32)</x:f>
        <x:v>1</x:v>
      </x:c>
    </x:row>
    <x:row r="33" ht="22" customHeight="1">
      <x:c r="A33" s="5" t="n">
        <x:f>'Raw Labour'!A33</x:f>
        <x:v>20250612</x:v>
      </x:c>
      <x:c r="B33" s="5" t="str">
        <x:f>IF(TRIM(LOWER('Raw Labour'!C33))="delivery","DEL",IF(TRIM(LOWER('Raw Labour'!C33))="recycling","REC",IF(TRIM(LOWER('Raw Labour'!C33))="picking","PCK","UNMAPPED")))</x:f>
        <x:v>REC</x:v>
      </x:c>
      <x:c r="C33" s="13" t="n">
        <x:f>'Raw Labour'!D33*'Raw Labour'!E33</x:f>
        <x:v>90</x:v>
      </x:c>
      <x:c r="D33" s="13" t="n">
        <x:f>'Raw Labour'!F33</x:f>
        <x:v>0</x:v>
      </x:c>
      <x:c r="E33" s="13" t="n">
        <x:f>'Raw Labour'!G33</x:f>
        <x:v>0</x:v>
      </x:c>
      <x:c r="F33" s="13" t="n">
        <x:f>'Raw Labour'!H33</x:f>
        <x:v>0</x:v>
      </x:c>
      <x:c r="G33" s="13" t="n">
        <x:f>'Raw Labour'!I33</x:f>
        <x:v>0</x:v>
      </x:c>
      <x:c r="H33" s="13" t="n">
        <x:f>C33-D33-G33+(E33-F33)*'Raw Labour'!K33</x:f>
        <x:v>90</x:v>
      </x:c>
      <x:c r="I33" s="13" t="n">
        <x:f>'Raw Labour'!J33</x:f>
        <x:v>40</x:v>
      </x:c>
      <x:c r="J33" s="13" t="n">
        <x:f>MAX(0,H33-I33)</x:f>
        <x:v>50</x:v>
      </x:c>
      <x:c r="K33" s="12" t="n">
        <x:f>MIN(1,I33/H33)</x:f>
        <x:v>0.4444444444444444</x:v>
      </x:c>
    </x:row>
    <x:row r="34" ht="22" customHeight="1">
      <x:c r="A34" s="5" t="n">
        <x:f>'Raw Labour'!A34</x:f>
        <x:v>20250612</x:v>
      </x:c>
      <x:c r="B34" s="5" t="str">
        <x:f>IF(TRIM(LOWER('Raw Labour'!C34))="delivery","DEL",IF(TRIM(LOWER('Raw Labour'!C34))="recycling","REC",IF(TRIM(LOWER('Raw Labour'!C34))="picking","PCK","UNMAPPED")))</x:f>
        <x:v>PCK</x:v>
      </x:c>
      <x:c r="C34" s="13" t="n">
        <x:f>'Raw Labour'!D34*'Raw Labour'!E34</x:f>
        <x:v>180</x:v>
      </x:c>
      <x:c r="D34" s="13" t="n">
        <x:f>'Raw Labour'!F34</x:f>
        <x:v>0</x:v>
      </x:c>
      <x:c r="E34" s="13" t="n">
        <x:f>'Raw Labour'!G34</x:f>
        <x:v>0</x:v>
      </x:c>
      <x:c r="F34" s="13" t="n">
        <x:f>'Raw Labour'!H34</x:f>
        <x:v>0</x:v>
      </x:c>
      <x:c r="G34" s="13" t="n">
        <x:f>'Raw Labour'!I34</x:f>
        <x:v>0</x:v>
      </x:c>
      <x:c r="H34" s="13" t="n">
        <x:f>C34-D34-G34+(E34-F34)*'Raw Labour'!K34</x:f>
        <x:v>180</x:v>
      </x:c>
      <x:c r="I34" s="13" t="n">
        <x:f>'Raw Labour'!J34</x:f>
        <x:v>154</x:v>
      </x:c>
      <x:c r="J34" s="13" t="n">
        <x:f>MAX(0,H34-I34)</x:f>
        <x:v>26</x:v>
      </x:c>
      <x:c r="K34" s="12" t="n">
        <x:f>MIN(1,I34/H34)</x:f>
        <x:v>0.8555555555555555</x:v>
      </x:c>
    </x:row>
    <x:row r="35" ht="22" customHeight="1">
      <x:c r="A35" s="5" t="n">
        <x:f>'Raw Labour'!A35</x:f>
        <x:v>20250613</x:v>
      </x:c>
      <x:c r="B35" s="5" t="str">
        <x:f>IF(TRIM(LOWER('Raw Labour'!C35))="delivery","DEL",IF(TRIM(LOWER('Raw Labour'!C35))="recycling","REC",IF(TRIM(LOWER('Raw Labour'!C35))="picking","PCK","UNMAPPED")))</x:f>
        <x:v>DEL</x:v>
      </x:c>
      <x:c r="C35" s="13" t="n">
        <x:f>'Raw Labour'!D35*'Raw Labour'!E35</x:f>
        <x:v>210</x:v>
      </x:c>
      <x:c r="D35" s="13" t="n">
        <x:f>'Raw Labour'!F35</x:f>
        <x:v>0</x:v>
      </x:c>
      <x:c r="E35" s="13" t="n">
        <x:f>'Raw Labour'!G35</x:f>
        <x:v>0</x:v>
      </x:c>
      <x:c r="F35" s="13" t="n">
        <x:f>'Raw Labour'!H35</x:f>
        <x:v>0</x:v>
      </x:c>
      <x:c r="G35" s="13" t="n">
        <x:f>'Raw Labour'!I35</x:f>
        <x:v>0</x:v>
      </x:c>
      <x:c r="H35" s="13" t="n">
        <x:f>C35-D35-G35+(E35-F35)*'Raw Labour'!K35</x:f>
        <x:v>210</x:v>
      </x:c>
      <x:c r="I35" s="13" t="n">
        <x:f>'Raw Labour'!J35</x:f>
        <x:v>376.5957446808511</x:v>
      </x:c>
      <x:c r="J35" s="13" t="n">
        <x:f>MAX(0,H35-I35)</x:f>
        <x:v>0</x:v>
      </x:c>
      <x:c r="K35" s="12" t="n">
        <x:f>MIN(1,I35/H35)</x:f>
        <x:v>1</x:v>
      </x:c>
    </x:row>
    <x:row r="36" ht="22" customHeight="1">
      <x:c r="A36" s="5" t="n">
        <x:f>'Raw Labour'!A36</x:f>
        <x:v>20250613</x:v>
      </x:c>
      <x:c r="B36" s="5" t="str">
        <x:f>IF(TRIM(LOWER('Raw Labour'!C36))="delivery","DEL",IF(TRIM(LOWER('Raw Labour'!C36))="recycling","REC",IF(TRIM(LOWER('Raw Labour'!C36))="picking","PCK","UNMAPPED")))</x:f>
        <x:v>REC</x:v>
      </x:c>
      <x:c r="C36" s="13" t="n">
        <x:f>'Raw Labour'!D36*'Raw Labour'!E36</x:f>
        <x:v>90</x:v>
      </x:c>
      <x:c r="D36" s="13" t="n">
        <x:f>'Raw Labour'!F36</x:f>
        <x:v>0</x:v>
      </x:c>
      <x:c r="E36" s="13" t="n">
        <x:f>'Raw Labour'!G36</x:f>
        <x:v>0</x:v>
      </x:c>
      <x:c r="F36" s="13" t="n">
        <x:f>'Raw Labour'!H36</x:f>
        <x:v>0</x:v>
      </x:c>
      <x:c r="G36" s="13" t="n">
        <x:f>'Raw Labour'!I36</x:f>
        <x:v>0</x:v>
      </x:c>
      <x:c r="H36" s="13" t="n">
        <x:f>C36-D36-G36+(E36-F36)*'Raw Labour'!K36</x:f>
        <x:v>90</x:v>
      </x:c>
      <x:c r="I36" s="13" t="n">
        <x:f>'Raw Labour'!J36</x:f>
        <x:v>40</x:v>
      </x:c>
      <x:c r="J36" s="13" t="n">
        <x:f>MAX(0,H36-I36)</x:f>
        <x:v>50</x:v>
      </x:c>
      <x:c r="K36" s="12" t="n">
        <x:f>MIN(1,I36/H36)</x:f>
        <x:v>0.4444444444444444</x:v>
      </x:c>
    </x:row>
    <x:row r="37" ht="22" customHeight="1">
      <x:c r="A37" s="5" t="n">
        <x:f>'Raw Labour'!A37</x:f>
        <x:v>20250613</x:v>
      </x:c>
      <x:c r="B37" s="5" t="str">
        <x:f>IF(TRIM(LOWER('Raw Labour'!C37))="delivery","DEL",IF(TRIM(LOWER('Raw Labour'!C37))="recycling","REC",IF(TRIM(LOWER('Raw Labour'!C37))="picking","PCK","UNMAPPED")))</x:f>
        <x:v>PCK</x:v>
      </x:c>
      <x:c r="C37" s="13" t="n">
        <x:f>'Raw Labour'!D37*'Raw Labour'!E37</x:f>
        <x:v>180</x:v>
      </x:c>
      <x:c r="D37" s="13" t="n">
        <x:f>'Raw Labour'!F37</x:f>
        <x:v>0</x:v>
      </x:c>
      <x:c r="E37" s="13" t="n">
        <x:f>'Raw Labour'!G37</x:f>
        <x:v>0</x:v>
      </x:c>
      <x:c r="F37" s="13" t="n">
        <x:f>'Raw Labour'!H37</x:f>
        <x:v>0</x:v>
      </x:c>
      <x:c r="G37" s="13" t="n">
        <x:f>'Raw Labour'!I37</x:f>
        <x:v>0</x:v>
      </x:c>
      <x:c r="H37" s="13" t="n">
        <x:f>C37-D37-G37+(E37-F37)*'Raw Labour'!K37</x:f>
        <x:v>180</x:v>
      </x:c>
      <x:c r="I37" s="13" t="n">
        <x:f>'Raw Labour'!J37</x:f>
        <x:v>154</x:v>
      </x:c>
      <x:c r="J37" s="13" t="n">
        <x:f>MAX(0,H37-I37)</x:f>
        <x:v>26</x:v>
      </x:c>
      <x:c r="K37" s="12" t="n">
        <x:f>MIN(1,I37/H37)</x:f>
        <x:v>0.8555555555555555</x:v>
      </x:c>
    </x:row>
    <x:row r="38" ht="22" customHeight="1">
      <x:c r="A38" s="5" t="n">
        <x:f>'Raw Labour'!A38</x:f>
        <x:v>20250614</x:v>
      </x:c>
      <x:c r="B38" s="5" t="str">
        <x:f>IF(TRIM(LOWER('Raw Labour'!C38))="delivery","DEL",IF(TRIM(LOWER('Raw Labour'!C38))="recycling","REC",IF(TRIM(LOWER('Raw Labour'!C38))="picking","PCK","UNMAPPED")))</x:f>
        <x:v>DEL</x:v>
      </x:c>
      <x:c r="C38" s="13" t="n">
        <x:f>'Raw Labour'!D38*'Raw Labour'!E38</x:f>
        <x:v>210</x:v>
      </x:c>
      <x:c r="D38" s="13" t="n">
        <x:f>'Raw Labour'!F38</x:f>
        <x:v>0</x:v>
      </x:c>
      <x:c r="E38" s="13" t="n">
        <x:f>'Raw Labour'!G38</x:f>
        <x:v>0</x:v>
      </x:c>
      <x:c r="F38" s="13" t="n">
        <x:f>'Raw Labour'!H38</x:f>
        <x:v>0</x:v>
      </x:c>
      <x:c r="G38" s="13" t="n">
        <x:f>'Raw Labour'!I38</x:f>
        <x:v>0</x:v>
      </x:c>
      <x:c r="H38" s="13" t="n">
        <x:f>C38-D38-G38+(E38-F38)*'Raw Labour'!K38</x:f>
        <x:v>210</x:v>
      </x:c>
      <x:c r="I38" s="13" t="n">
        <x:f>'Raw Labour'!J38</x:f>
        <x:v>398.40425531914894</x:v>
      </x:c>
      <x:c r="J38" s="13" t="n">
        <x:f>MAX(0,H38-I38)</x:f>
        <x:v>0</x:v>
      </x:c>
      <x:c r="K38" s="12" t="n">
        <x:f>MIN(1,I38/H38)</x:f>
        <x:v>1</x:v>
      </x:c>
    </x:row>
    <x:row r="39" ht="22" customHeight="1">
      <x:c r="A39" s="5" t="n">
        <x:f>'Raw Labour'!A39</x:f>
        <x:v>20250614</x:v>
      </x:c>
      <x:c r="B39" s="5" t="str">
        <x:f>IF(TRIM(LOWER('Raw Labour'!C39))="delivery","DEL",IF(TRIM(LOWER('Raw Labour'!C39))="recycling","REC",IF(TRIM(LOWER('Raw Labour'!C39))="picking","PCK","UNMAPPED")))</x:f>
        <x:v>REC</x:v>
      </x:c>
      <x:c r="C39" s="13" t="n">
        <x:f>'Raw Labour'!D39*'Raw Labour'!E39</x:f>
        <x:v>90</x:v>
      </x:c>
      <x:c r="D39" s="13" t="n">
        <x:f>'Raw Labour'!F39</x:f>
        <x:v>0</x:v>
      </x:c>
      <x:c r="E39" s="13" t="n">
        <x:f>'Raw Labour'!G39</x:f>
        <x:v>0</x:v>
      </x:c>
      <x:c r="F39" s="13" t="n">
        <x:f>'Raw Labour'!H39</x:f>
        <x:v>0</x:v>
      </x:c>
      <x:c r="G39" s="13" t="n">
        <x:f>'Raw Labour'!I39</x:f>
        <x:v>0</x:v>
      </x:c>
      <x:c r="H39" s="13" t="n">
        <x:f>C39-D39-G39+(E39-F39)*'Raw Labour'!K39</x:f>
        <x:v>90</x:v>
      </x:c>
      <x:c r="I39" s="13" t="n">
        <x:f>'Raw Labour'!J39</x:f>
        <x:v>40</x:v>
      </x:c>
      <x:c r="J39" s="13" t="n">
        <x:f>MAX(0,H39-I39)</x:f>
        <x:v>50</x:v>
      </x:c>
      <x:c r="K39" s="12" t="n">
        <x:f>MIN(1,I39/H39)</x:f>
        <x:v>0.4444444444444444</x:v>
      </x:c>
    </x:row>
    <x:row r="40" ht="22" customHeight="1">
      <x:c r="A40" s="5" t="n">
        <x:f>'Raw Labour'!A40</x:f>
        <x:v>20250614</x:v>
      </x:c>
      <x:c r="B40" s="5" t="str">
        <x:f>IF(TRIM(LOWER('Raw Labour'!C40))="delivery","DEL",IF(TRIM(LOWER('Raw Labour'!C40))="recycling","REC",IF(TRIM(LOWER('Raw Labour'!C40))="picking","PCK","UNMAPPED")))</x:f>
        <x:v>PCK</x:v>
      </x:c>
      <x:c r="C40" s="13" t="n">
        <x:f>'Raw Labour'!D40*'Raw Labour'!E40</x:f>
        <x:v>180</x:v>
      </x:c>
      <x:c r="D40" s="13" t="n">
        <x:f>'Raw Labour'!F40</x:f>
        <x:v>0</x:v>
      </x:c>
      <x:c r="E40" s="13" t="n">
        <x:f>'Raw Labour'!G40</x:f>
        <x:v>0</x:v>
      </x:c>
      <x:c r="F40" s="13" t="n">
        <x:f>'Raw Labour'!H40</x:f>
        <x:v>0</x:v>
      </x:c>
      <x:c r="G40" s="13" t="n">
        <x:f>'Raw Labour'!I40</x:f>
        <x:v>0</x:v>
      </x:c>
      <x:c r="H40" s="13" t="n">
        <x:f>C40-D40-G40+(E40-F40)*'Raw Labour'!K40</x:f>
        <x:v>180</x:v>
      </x:c>
      <x:c r="I40" s="13" t="n">
        <x:f>'Raw Labour'!J40</x:f>
        <x:v>154</x:v>
      </x:c>
      <x:c r="J40" s="13" t="n">
        <x:f>MAX(0,H40-I40)</x:f>
        <x:v>26</x:v>
      </x:c>
      <x:c r="K40" s="12" t="n">
        <x:f>MIN(1,I40/H40)</x:f>
        <x:v>0.8555555555555555</x:v>
      </x:c>
    </x:row>
    <x:row r="41" ht="22" customHeight="1">
      <x:c r="A41" s="5" t="n">
        <x:f>'Raw Labour'!A41</x:f>
        <x:v>20250615</x:v>
      </x:c>
      <x:c r="B41" s="5" t="str">
        <x:f>IF(TRIM(LOWER('Raw Labour'!C41))="delivery","DEL",IF(TRIM(LOWER('Raw Labour'!C41))="recycling","REC",IF(TRIM(LOWER('Raw Labour'!C41))="picking","PCK","UNMAPPED")))</x:f>
        <x:v>DEL</x:v>
      </x:c>
      <x:c r="C41" s="13" t="n">
        <x:f>'Raw Labour'!D41*'Raw Labour'!E41</x:f>
        <x:v>210</x:v>
      </x:c>
      <x:c r="D41" s="13" t="n">
        <x:f>'Raw Labour'!F41</x:f>
        <x:v>0</x:v>
      </x:c>
      <x:c r="E41" s="13" t="n">
        <x:f>'Raw Labour'!G41</x:f>
        <x:v>0</x:v>
      </x:c>
      <x:c r="F41" s="13" t="n">
        <x:f>'Raw Labour'!H41</x:f>
        <x:v>0</x:v>
      </x:c>
      <x:c r="G41" s="13" t="n">
        <x:f>'Raw Labour'!I41</x:f>
        <x:v>0</x:v>
      </x:c>
      <x:c r="H41" s="13" t="n">
        <x:f>C41-D41-G41+(E41-F41)*'Raw Labour'!K41</x:f>
        <x:v>210</x:v>
      </x:c>
      <x:c r="I41" s="13" t="n">
        <x:f>'Raw Labour'!J41</x:f>
        <x:v>429.7872340425532</x:v>
      </x:c>
      <x:c r="J41" s="13" t="n">
        <x:f>MAX(0,H41-I41)</x:f>
        <x:v>0</x:v>
      </x:c>
      <x:c r="K41" s="12" t="n">
        <x:f>MIN(1,I41/H41)</x:f>
        <x:v>1</x:v>
      </x:c>
    </x:row>
    <x:row r="42" ht="22" customHeight="1">
      <x:c r="A42" s="5" t="n">
        <x:f>'Raw Labour'!A42</x:f>
        <x:v>20250615</x:v>
      </x:c>
      <x:c r="B42" s="5" t="str">
        <x:f>IF(TRIM(LOWER('Raw Labour'!C42))="delivery","DEL",IF(TRIM(LOWER('Raw Labour'!C42))="recycling","REC",IF(TRIM(LOWER('Raw Labour'!C42))="picking","PCK","UNMAPPED")))</x:f>
        <x:v>REC</x:v>
      </x:c>
      <x:c r="C42" s="13" t="n">
        <x:f>'Raw Labour'!D42*'Raw Labour'!E42</x:f>
        <x:v>90</x:v>
      </x:c>
      <x:c r="D42" s="13" t="n">
        <x:f>'Raw Labour'!F42</x:f>
        <x:v>0</x:v>
      </x:c>
      <x:c r="E42" s="13" t="n">
        <x:f>'Raw Labour'!G42</x:f>
        <x:v>0</x:v>
      </x:c>
      <x:c r="F42" s="13" t="n">
        <x:f>'Raw Labour'!H42</x:f>
        <x:v>0</x:v>
      </x:c>
      <x:c r="G42" s="13" t="n">
        <x:f>'Raw Labour'!I42</x:f>
        <x:v>0</x:v>
      </x:c>
      <x:c r="H42" s="13" t="n">
        <x:f>C42-D42-G42+(E42-F42)*'Raw Labour'!K42</x:f>
        <x:v>90</x:v>
      </x:c>
      <x:c r="I42" s="13" t="n">
        <x:f>'Raw Labour'!J42</x:f>
        <x:v>40</x:v>
      </x:c>
      <x:c r="J42" s="13" t="n">
        <x:f>MAX(0,H42-I42)</x:f>
        <x:v>50</x:v>
      </x:c>
      <x:c r="K42" s="12" t="n">
        <x:f>MIN(1,I42/H42)</x:f>
        <x:v>0.4444444444444444</x:v>
      </x:c>
    </x:row>
    <x:row r="43" ht="22" customHeight="1">
      <x:c r="A43" s="5" t="n">
        <x:f>'Raw Labour'!A43</x:f>
        <x:v>20250615</x:v>
      </x:c>
      <x:c r="B43" s="5" t="str">
        <x:f>IF(TRIM(LOWER('Raw Labour'!C43))="delivery","DEL",IF(TRIM(LOWER('Raw Labour'!C43))="recycling","REC",IF(TRIM(LOWER('Raw Labour'!C43))="picking","PCK","UNMAPPED")))</x:f>
        <x:v>PCK</x:v>
      </x:c>
      <x:c r="C43" s="13" t="n">
        <x:f>'Raw Labour'!D43*'Raw Labour'!E43</x:f>
        <x:v>180</x:v>
      </x:c>
      <x:c r="D43" s="13" t="n">
        <x:f>'Raw Labour'!F43</x:f>
        <x:v>0</x:v>
      </x:c>
      <x:c r="E43" s="13" t="n">
        <x:f>'Raw Labour'!G43</x:f>
        <x:v>0</x:v>
      </x:c>
      <x:c r="F43" s="13" t="n">
        <x:f>'Raw Labour'!H43</x:f>
        <x:v>0</x:v>
      </x:c>
      <x:c r="G43" s="13" t="n">
        <x:f>'Raw Labour'!I43</x:f>
        <x:v>0</x:v>
      </x:c>
      <x:c r="H43" s="13" t="n">
        <x:f>C43-D43-G43+(E43-F43)*'Raw Labour'!K43</x:f>
        <x:v>180</x:v>
      </x:c>
      <x:c r="I43" s="13" t="n">
        <x:f>'Raw Labour'!J43</x:f>
        <x:v>154</x:v>
      </x:c>
      <x:c r="J43" s="13" t="n">
        <x:f>MAX(0,H43-I43)</x:f>
        <x:v>26</x:v>
      </x:c>
      <x:c r="K43" s="12" t="n">
        <x:f>MIN(1,I43/H43)</x:f>
        <x:v>0.8555555555555555</x:v>
      </x:c>
    </x:row>
    <x:row r="44" ht="22" customHeight="1">
      <x:c r="A44" s="5" t="n">
        <x:f>'Raw Labour'!A44</x:f>
        <x:v>20250616</x:v>
      </x:c>
      <x:c r="B44" s="5" t="str">
        <x:f>IF(TRIM(LOWER('Raw Labour'!C44))="delivery","DEL",IF(TRIM(LOWER('Raw Labour'!C44))="recycling","REC",IF(TRIM(LOWER('Raw Labour'!C44))="picking","PCK","UNMAPPED")))</x:f>
        <x:v>DEL</x:v>
      </x:c>
      <x:c r="C44" s="13" t="n">
        <x:f>'Raw Labour'!D44*'Raw Labour'!E44</x:f>
        <x:v>210</x:v>
      </x:c>
      <x:c r="D44" s="13" t="n">
        <x:f>'Raw Labour'!F44</x:f>
        <x:v>0</x:v>
      </x:c>
      <x:c r="E44" s="13" t="n">
        <x:f>'Raw Labour'!G44</x:f>
        <x:v>0</x:v>
      </x:c>
      <x:c r="F44" s="13" t="n">
        <x:f>'Raw Labour'!H44</x:f>
        <x:v>0</x:v>
      </x:c>
      <x:c r="G44" s="13" t="n">
        <x:f>'Raw Labour'!I44</x:f>
        <x:v>0</x:v>
      </x:c>
      <x:c r="H44" s="13" t="n">
        <x:f>C44-D44-G44+(E44-F44)*'Raw Labour'!K44</x:f>
        <x:v>210</x:v>
      </x:c>
      <x:c r="I44" s="13" t="n">
        <x:f>'Raw Labour'!J44</x:f>
        <x:v>453.19148936170217</x:v>
      </x:c>
      <x:c r="J44" s="13" t="n">
        <x:f>MAX(0,H44-I44)</x:f>
        <x:v>0</x:v>
      </x:c>
      <x:c r="K44" s="12" t="n">
        <x:f>MIN(1,I44/H44)</x:f>
        <x:v>1</x:v>
      </x:c>
    </x:row>
    <x:row r="45" ht="22" customHeight="1">
      <x:c r="A45" s="5" t="n">
        <x:f>'Raw Labour'!A45</x:f>
        <x:v>20250616</x:v>
      </x:c>
      <x:c r="B45" s="5" t="str">
        <x:f>IF(TRIM(LOWER('Raw Labour'!C45))="delivery","DEL",IF(TRIM(LOWER('Raw Labour'!C45))="recycling","REC",IF(TRIM(LOWER('Raw Labour'!C45))="picking","PCK","UNMAPPED")))</x:f>
        <x:v>REC</x:v>
      </x:c>
      <x:c r="C45" s="13" t="n">
        <x:f>'Raw Labour'!D45*'Raw Labour'!E45</x:f>
        <x:v>90</x:v>
      </x:c>
      <x:c r="D45" s="13" t="n">
        <x:f>'Raw Labour'!F45</x:f>
        <x:v>0</x:v>
      </x:c>
      <x:c r="E45" s="13" t="n">
        <x:f>'Raw Labour'!G45</x:f>
        <x:v>0</x:v>
      </x:c>
      <x:c r="F45" s="13" t="n">
        <x:f>'Raw Labour'!H45</x:f>
        <x:v>0</x:v>
      </x:c>
      <x:c r="G45" s="13" t="n">
        <x:f>'Raw Labour'!I45</x:f>
        <x:v>0</x:v>
      </x:c>
      <x:c r="H45" s="13" t="n">
        <x:f>C45-D45-G45+(E45-F45)*'Raw Labour'!K45</x:f>
        <x:v>90</x:v>
      </x:c>
      <x:c r="I45" s="13" t="n">
        <x:f>'Raw Labour'!J45</x:f>
        <x:v>40</x:v>
      </x:c>
      <x:c r="J45" s="13" t="n">
        <x:f>MAX(0,H45-I45)</x:f>
        <x:v>50</x:v>
      </x:c>
      <x:c r="K45" s="12" t="n">
        <x:f>MIN(1,I45/H45)</x:f>
        <x:v>0.4444444444444444</x:v>
      </x:c>
    </x:row>
    <x:row r="46" ht="22" customHeight="1">
      <x:c r="A46" s="5" t="n">
        <x:f>'Raw Labour'!A46</x:f>
        <x:v>20250616</x:v>
      </x:c>
      <x:c r="B46" s="5" t="str">
        <x:f>IF(TRIM(LOWER('Raw Labour'!C46))="delivery","DEL",IF(TRIM(LOWER('Raw Labour'!C46))="recycling","REC",IF(TRIM(LOWER('Raw Labour'!C46))="picking","PCK","UNMAPPED")))</x:f>
        <x:v>PCK</x:v>
      </x:c>
      <x:c r="C46" s="13" t="n">
        <x:f>'Raw Labour'!D46*'Raw Labour'!E46</x:f>
        <x:v>180</x:v>
      </x:c>
      <x:c r="D46" s="13" t="n">
        <x:f>'Raw Labour'!F46</x:f>
        <x:v>0</x:v>
      </x:c>
      <x:c r="E46" s="13" t="n">
        <x:f>'Raw Labour'!G46</x:f>
        <x:v>0</x:v>
      </x:c>
      <x:c r="F46" s="13" t="n">
        <x:f>'Raw Labour'!H46</x:f>
        <x:v>0</x:v>
      </x:c>
      <x:c r="G46" s="13" t="n">
        <x:f>'Raw Labour'!I46</x:f>
        <x:v>0</x:v>
      </x:c>
      <x:c r="H46" s="13" t="n">
        <x:f>C46-D46-G46+(E46-F46)*'Raw Labour'!K46</x:f>
        <x:v>180</x:v>
      </x:c>
      <x:c r="I46" s="13" t="n">
        <x:f>'Raw Labour'!J46</x:f>
        <x:v>154</x:v>
      </x:c>
      <x:c r="J46" s="13" t="n">
        <x:f>MAX(0,H46-I46)</x:f>
        <x:v>26</x:v>
      </x:c>
      <x:c r="K46" s="12" t="n">
        <x:f>MIN(1,I46/H46)</x:f>
        <x:v>0.8555555555555555</x:v>
      </x:c>
    </x:row>
    <x:row r="47" ht="22" customHeight="1">
      <x:c r="A47" s="5" t="n">
        <x:f>'Raw Labour'!A47</x:f>
        <x:v>20250617</x:v>
      </x:c>
      <x:c r="B47" s="5" t="str">
        <x:f>IF(TRIM(LOWER('Raw Labour'!C47))="delivery","DEL",IF(TRIM(LOWER('Raw Labour'!C47))="recycling","REC",IF(TRIM(LOWER('Raw Labour'!C47))="picking","PCK","UNMAPPED")))</x:f>
        <x:v>DEL</x:v>
      </x:c>
      <x:c r="C47" s="13" t="n">
        <x:f>'Raw Labour'!D47*'Raw Labour'!E47</x:f>
        <x:v>210</x:v>
      </x:c>
      <x:c r="D47" s="13" t="n">
        <x:f>'Raw Labour'!F47</x:f>
        <x:v>0</x:v>
      </x:c>
      <x:c r="E47" s="13" t="n">
        <x:f>'Raw Labour'!G47</x:f>
        <x:v>0</x:v>
      </x:c>
      <x:c r="F47" s="13" t="n">
        <x:f>'Raw Labour'!H47</x:f>
        <x:v>0</x:v>
      </x:c>
      <x:c r="G47" s="13" t="n">
        <x:f>'Raw Labour'!I47</x:f>
        <x:v>0</x:v>
      </x:c>
      <x:c r="H47" s="13" t="n">
        <x:f>C47-D47-G47+(E47-F47)*'Raw Labour'!K47</x:f>
        <x:v>210</x:v>
      </x:c>
      <x:c r="I47" s="13" t="n">
        <x:f>'Raw Labour'!J47</x:f>
        <x:v>487.2340425531915</x:v>
      </x:c>
      <x:c r="J47" s="13" t="n">
        <x:f>MAX(0,H47-I47)</x:f>
        <x:v>0</x:v>
      </x:c>
      <x:c r="K47" s="12" t="n">
        <x:f>MIN(1,I47/H47)</x:f>
        <x:v>1</x:v>
      </x:c>
    </x:row>
    <x:row r="48" ht="22" customHeight="1">
      <x:c r="A48" s="5" t="n">
        <x:f>'Raw Labour'!A48</x:f>
        <x:v>20250617</x:v>
      </x:c>
      <x:c r="B48" s="5" t="str">
        <x:f>IF(TRIM(LOWER('Raw Labour'!C48))="delivery","DEL",IF(TRIM(LOWER('Raw Labour'!C48))="recycling","REC",IF(TRIM(LOWER('Raw Labour'!C48))="picking","PCK","UNMAPPED")))</x:f>
        <x:v>REC</x:v>
      </x:c>
      <x:c r="C48" s="13" t="n">
        <x:f>'Raw Labour'!D48*'Raw Labour'!E48</x:f>
        <x:v>90</x:v>
      </x:c>
      <x:c r="D48" s="13" t="n">
        <x:f>'Raw Labour'!F48</x:f>
        <x:v>0</x:v>
      </x:c>
      <x:c r="E48" s="13" t="n">
        <x:f>'Raw Labour'!G48</x:f>
        <x:v>0</x:v>
      </x:c>
      <x:c r="F48" s="13" t="n">
        <x:f>'Raw Labour'!H48</x:f>
        <x:v>0</x:v>
      </x:c>
      <x:c r="G48" s="13" t="n">
        <x:f>'Raw Labour'!I48</x:f>
        <x:v>0</x:v>
      </x:c>
      <x:c r="H48" s="13" t="n">
        <x:f>C48-D48-G48+(E48-F48)*'Raw Labour'!K48</x:f>
        <x:v>90</x:v>
      </x:c>
      <x:c r="I48" s="13" t="n">
        <x:f>'Raw Labour'!J48</x:f>
        <x:v>40</x:v>
      </x:c>
      <x:c r="J48" s="13" t="n">
        <x:f>MAX(0,H48-I48)</x:f>
        <x:v>50</x:v>
      </x:c>
      <x:c r="K48" s="12" t="n">
        <x:f>MIN(1,I48/H48)</x:f>
        <x:v>0.4444444444444444</x:v>
      </x:c>
    </x:row>
    <x:row r="49" ht="22" customHeight="1">
      <x:c r="A49" s="5" t="n">
        <x:f>'Raw Labour'!A49</x:f>
        <x:v>20250617</x:v>
      </x:c>
      <x:c r="B49" s="5" t="str">
        <x:f>IF(TRIM(LOWER('Raw Labour'!C49))="delivery","DEL",IF(TRIM(LOWER('Raw Labour'!C49))="recycling","REC",IF(TRIM(LOWER('Raw Labour'!C49))="picking","PCK","UNMAPPED")))</x:f>
        <x:v>PCK</x:v>
      </x:c>
      <x:c r="C49" s="13" t="n">
        <x:f>'Raw Labour'!D49*'Raw Labour'!E49</x:f>
        <x:v>180</x:v>
      </x:c>
      <x:c r="D49" s="13" t="n">
        <x:f>'Raw Labour'!F49</x:f>
        <x:v>0</x:v>
      </x:c>
      <x:c r="E49" s="13" t="n">
        <x:f>'Raw Labour'!G49</x:f>
        <x:v>0</x:v>
      </x:c>
      <x:c r="F49" s="13" t="n">
        <x:f>'Raw Labour'!H49</x:f>
        <x:v>0</x:v>
      </x:c>
      <x:c r="G49" s="13" t="n">
        <x:f>'Raw Labour'!I49</x:f>
        <x:v>0</x:v>
      </x:c>
      <x:c r="H49" s="13" t="n">
        <x:f>C49-D49-G49+(E49-F49)*'Raw Labour'!K49</x:f>
        <x:v>180</x:v>
      </x:c>
      <x:c r="I49" s="13" t="n">
        <x:f>'Raw Labour'!J49</x:f>
        <x:v>154</x:v>
      </x:c>
      <x:c r="J49" s="13" t="n">
        <x:f>MAX(0,H49-I49)</x:f>
        <x:v>26</x:v>
      </x:c>
      <x:c r="K49" s="12" t="n">
        <x:f>MIN(1,I49/H49)</x:f>
        <x:v>0.8555555555555555</x:v>
      </x:c>
    </x:row>
    <x:row r="50" ht="22" customHeight="1">
      <x:c r="A50" s="5" t="n">
        <x:f>'Raw Labour'!A50</x:f>
        <x:v>20250618</x:v>
      </x:c>
      <x:c r="B50" s="5" t="str">
        <x:f>IF(TRIM(LOWER('Raw Labour'!C50))="delivery","DEL",IF(TRIM(LOWER('Raw Labour'!C50))="recycling","REC",IF(TRIM(LOWER('Raw Labour'!C50))="picking","PCK","UNMAPPED")))</x:f>
        <x:v>DEL</x:v>
      </x:c>
      <x:c r="C50" s="13" t="n">
        <x:f>'Raw Labour'!D50*'Raw Labour'!E50</x:f>
        <x:v>210</x:v>
      </x:c>
      <x:c r="D50" s="13" t="n">
        <x:f>'Raw Labour'!F50</x:f>
        <x:v>0</x:v>
      </x:c>
      <x:c r="E50" s="13" t="n">
        <x:f>'Raw Labour'!G50</x:f>
        <x:v>0</x:v>
      </x:c>
      <x:c r="F50" s="13" t="n">
        <x:f>'Raw Labour'!H50</x:f>
        <x:v>0</x:v>
      </x:c>
      <x:c r="G50" s="13" t="n">
        <x:f>'Raw Labour'!I50</x:f>
        <x:v>0</x:v>
      </x:c>
      <x:c r="H50" s="13" t="n">
        <x:f>C50-D50-G50+(E50-F50)*'Raw Labour'!K50</x:f>
        <x:v>210</x:v>
      </x:c>
      <x:c r="I50" s="13" t="n">
        <x:f>'Raw Labour'!J50</x:f>
        <x:v>526.5957446808511</x:v>
      </x:c>
      <x:c r="J50" s="13" t="n">
        <x:f>MAX(0,H50-I50)</x:f>
        <x:v>0</x:v>
      </x:c>
      <x:c r="K50" s="12" t="n">
        <x:f>MIN(1,I50/H50)</x:f>
        <x:v>1</x:v>
      </x:c>
    </x:row>
    <x:row r="51" ht="22" customHeight="1">
      <x:c r="A51" s="5" t="n">
        <x:f>'Raw Labour'!A51</x:f>
        <x:v>20250618</x:v>
      </x:c>
      <x:c r="B51" s="5" t="str">
        <x:f>IF(TRIM(LOWER('Raw Labour'!C51))="delivery","DEL",IF(TRIM(LOWER('Raw Labour'!C51))="recycling","REC",IF(TRIM(LOWER('Raw Labour'!C51))="picking","PCK","UNMAPPED")))</x:f>
        <x:v>REC</x:v>
      </x:c>
      <x:c r="C51" s="13" t="n">
        <x:f>'Raw Labour'!D51*'Raw Labour'!E51</x:f>
        <x:v>90</x:v>
      </x:c>
      <x:c r="D51" s="13" t="n">
        <x:f>'Raw Labour'!F51</x:f>
        <x:v>0</x:v>
      </x:c>
      <x:c r="E51" s="13" t="n">
        <x:f>'Raw Labour'!G51</x:f>
        <x:v>0</x:v>
      </x:c>
      <x:c r="F51" s="13" t="n">
        <x:f>'Raw Labour'!H51</x:f>
        <x:v>0</x:v>
      </x:c>
      <x:c r="G51" s="13" t="n">
        <x:f>'Raw Labour'!I51</x:f>
        <x:v>0</x:v>
      </x:c>
      <x:c r="H51" s="13" t="n">
        <x:f>C51-D51-G51+(E51-F51)*'Raw Labour'!K51</x:f>
        <x:v>90</x:v>
      </x:c>
      <x:c r="I51" s="13" t="n">
        <x:f>'Raw Labour'!J51</x:f>
        <x:v>40</x:v>
      </x:c>
      <x:c r="J51" s="13" t="n">
        <x:f>MAX(0,H51-I51)</x:f>
        <x:v>50</x:v>
      </x:c>
      <x:c r="K51" s="12" t="n">
        <x:f>MIN(1,I51/H51)</x:f>
        <x:v>0.4444444444444444</x:v>
      </x:c>
    </x:row>
    <x:row r="52" ht="22" customHeight="1">
      <x:c r="A52" s="5" t="n">
        <x:f>'Raw Labour'!A52</x:f>
        <x:v>20250618</x:v>
      </x:c>
      <x:c r="B52" s="5" t="str">
        <x:f>IF(TRIM(LOWER('Raw Labour'!C52))="delivery","DEL",IF(TRIM(LOWER('Raw Labour'!C52))="recycling","REC",IF(TRIM(LOWER('Raw Labour'!C52))="picking","PCK","UNMAPPED")))</x:f>
        <x:v>PCK</x:v>
      </x:c>
      <x:c r="C52" s="13" t="n">
        <x:f>'Raw Labour'!D52*'Raw Labour'!E52</x:f>
        <x:v>180</x:v>
      </x:c>
      <x:c r="D52" s="13" t="n">
        <x:f>'Raw Labour'!F52</x:f>
        <x:v>0</x:v>
      </x:c>
      <x:c r="E52" s="13" t="n">
        <x:f>'Raw Labour'!G52</x:f>
        <x:v>0</x:v>
      </x:c>
      <x:c r="F52" s="13" t="n">
        <x:f>'Raw Labour'!H52</x:f>
        <x:v>0</x:v>
      </x:c>
      <x:c r="G52" s="13" t="n">
        <x:f>'Raw Labour'!I52</x:f>
        <x:v>0</x:v>
      </x:c>
      <x:c r="H52" s="13" t="n">
        <x:f>C52-D52-G52+(E52-F52)*'Raw Labour'!K52</x:f>
        <x:v>180</x:v>
      </x:c>
      <x:c r="I52" s="13" t="n">
        <x:f>'Raw Labour'!J52</x:f>
        <x:v>154</x:v>
      </x:c>
      <x:c r="J52" s="13" t="n">
        <x:f>MAX(0,H52-I52)</x:f>
        <x:v>26</x:v>
      </x:c>
      <x:c r="K52" s="12" t="n">
        <x:f>MIN(1,I52/H52)</x:f>
        <x:v>0.8555555555555555</x:v>
      </x:c>
    </x:row>
    <x:row r="53" ht="22" customHeight="1">
      <x:c r="A53" s="5" t="n">
        <x:f>'Raw Labour'!A53</x:f>
        <x:v>20250619</x:v>
      </x:c>
      <x:c r="B53" s="5" t="str">
        <x:f>IF(TRIM(LOWER('Raw Labour'!C53))="delivery","DEL",IF(TRIM(LOWER('Raw Labour'!C53))="recycling","REC",IF(TRIM(LOWER('Raw Labour'!C53))="picking","PCK","UNMAPPED")))</x:f>
        <x:v>DEL</x:v>
      </x:c>
      <x:c r="C53" s="13" t="n">
        <x:f>'Raw Labour'!D53*'Raw Labour'!E53</x:f>
        <x:v>210</x:v>
      </x:c>
      <x:c r="D53" s="13" t="n">
        <x:f>'Raw Labour'!F53</x:f>
        <x:v>0</x:v>
      </x:c>
      <x:c r="E53" s="13" t="n">
        <x:f>'Raw Labour'!G53</x:f>
        <x:v>0</x:v>
      </x:c>
      <x:c r="F53" s="13" t="n">
        <x:f>'Raw Labour'!H53</x:f>
        <x:v>0</x:v>
      </x:c>
      <x:c r="G53" s="13" t="n">
        <x:f>'Raw Labour'!I53</x:f>
        <x:v>0</x:v>
      </x:c>
      <x:c r="H53" s="13" t="n">
        <x:f>C53-D53-G53+(E53-F53)*'Raw Labour'!K53</x:f>
        <x:v>210</x:v>
      </x:c>
      <x:c r="I53" s="13" t="n">
        <x:f>'Raw Labour'!J53</x:f>
        <x:v>552.6595744680851</x:v>
      </x:c>
      <x:c r="J53" s="13" t="n">
        <x:f>MAX(0,H53-I53)</x:f>
        <x:v>0</x:v>
      </x:c>
      <x:c r="K53" s="12" t="n">
        <x:f>MIN(1,I53/H53)</x:f>
        <x:v>1</x:v>
      </x:c>
    </x:row>
    <x:row r="54" ht="22" customHeight="1">
      <x:c r="A54" s="5" t="n">
        <x:f>'Raw Labour'!A54</x:f>
        <x:v>20250619</x:v>
      </x:c>
      <x:c r="B54" s="5" t="str">
        <x:f>IF(TRIM(LOWER('Raw Labour'!C54))="delivery","DEL",IF(TRIM(LOWER('Raw Labour'!C54))="recycling","REC",IF(TRIM(LOWER('Raw Labour'!C54))="picking","PCK","UNMAPPED")))</x:f>
        <x:v>REC</x:v>
      </x:c>
      <x:c r="C54" s="13" t="n">
        <x:f>'Raw Labour'!D54*'Raw Labour'!E54</x:f>
        <x:v>90</x:v>
      </x:c>
      <x:c r="D54" s="13" t="n">
        <x:f>'Raw Labour'!F54</x:f>
        <x:v>0</x:v>
      </x:c>
      <x:c r="E54" s="13" t="n">
        <x:f>'Raw Labour'!G54</x:f>
        <x:v>0</x:v>
      </x:c>
      <x:c r="F54" s="13" t="n">
        <x:f>'Raw Labour'!H54</x:f>
        <x:v>0</x:v>
      </x:c>
      <x:c r="G54" s="13" t="n">
        <x:f>'Raw Labour'!I54</x:f>
        <x:v>0</x:v>
      </x:c>
      <x:c r="H54" s="13" t="n">
        <x:f>C54-D54-G54+(E54-F54)*'Raw Labour'!K54</x:f>
        <x:v>90</x:v>
      </x:c>
      <x:c r="I54" s="13" t="n">
        <x:f>'Raw Labour'!J54</x:f>
        <x:v>40</x:v>
      </x:c>
      <x:c r="J54" s="13" t="n">
        <x:f>MAX(0,H54-I54)</x:f>
        <x:v>50</x:v>
      </x:c>
      <x:c r="K54" s="12" t="n">
        <x:f>MIN(1,I54/H54)</x:f>
        <x:v>0.4444444444444444</x:v>
      </x:c>
    </x:row>
    <x:row r="55" ht="22" customHeight="1">
      <x:c r="A55" s="5" t="n">
        <x:f>'Raw Labour'!A55</x:f>
        <x:v>20250619</x:v>
      </x:c>
      <x:c r="B55" s="5" t="str">
        <x:f>IF(TRIM(LOWER('Raw Labour'!C55))="delivery","DEL",IF(TRIM(LOWER('Raw Labour'!C55))="recycling","REC",IF(TRIM(LOWER('Raw Labour'!C55))="picking","PCK","UNMAPPED")))</x:f>
        <x:v>PCK</x:v>
      </x:c>
      <x:c r="C55" s="13" t="n">
        <x:f>'Raw Labour'!D55*'Raw Labour'!E55</x:f>
        <x:v>180</x:v>
      </x:c>
      <x:c r="D55" s="13" t="n">
        <x:f>'Raw Labour'!F55</x:f>
        <x:v>0</x:v>
      </x:c>
      <x:c r="E55" s="13" t="n">
        <x:f>'Raw Labour'!G55</x:f>
        <x:v>0</x:v>
      </x:c>
      <x:c r="F55" s="13" t="n">
        <x:f>'Raw Labour'!H55</x:f>
        <x:v>0</x:v>
      </x:c>
      <x:c r="G55" s="13" t="n">
        <x:f>'Raw Labour'!I55</x:f>
        <x:v>0</x:v>
      </x:c>
      <x:c r="H55" s="13" t="n">
        <x:f>C55-D55-G55+(E55-F55)*'Raw Labour'!K55</x:f>
        <x:v>180</x:v>
      </x:c>
      <x:c r="I55" s="13" t="n">
        <x:f>'Raw Labour'!J55</x:f>
        <x:v>154</x:v>
      </x:c>
      <x:c r="J55" s="13" t="n">
        <x:f>MAX(0,H55-I55)</x:f>
        <x:v>26</x:v>
      </x:c>
      <x:c r="K55" s="12" t="n">
        <x:f>MIN(1,I55/H55)</x:f>
        <x:v>0.8555555555555555</x:v>
      </x:c>
    </x:row>
    <x:row r="56" ht="22" customHeight="1">
      <x:c r="A56" s="5" t="n">
        <x:f>'Raw Labour'!A56</x:f>
        <x:v>20250620</x:v>
      </x:c>
      <x:c r="B56" s="5" t="str">
        <x:f>IF(TRIM(LOWER('Raw Labour'!C56))="delivery","DEL",IF(TRIM(LOWER('Raw Labour'!C56))="recycling","REC",IF(TRIM(LOWER('Raw Labour'!C56))="picking","PCK","UNMAPPED")))</x:f>
        <x:v>DEL</x:v>
      </x:c>
      <x:c r="C56" s="13" t="n">
        <x:f>'Raw Labour'!D56*'Raw Labour'!E56</x:f>
        <x:v>210</x:v>
      </x:c>
      <x:c r="D56" s="13" t="n">
        <x:f>'Raw Labour'!F56</x:f>
        <x:v>0</x:v>
      </x:c>
      <x:c r="E56" s="13" t="n">
        <x:f>'Raw Labour'!G56</x:f>
        <x:v>0</x:v>
      </x:c>
      <x:c r="F56" s="13" t="n">
        <x:f>'Raw Labour'!H56</x:f>
        <x:v>0</x:v>
      </x:c>
      <x:c r="G56" s="13" t="n">
        <x:f>'Raw Labour'!I56</x:f>
        <x:v>0</x:v>
      </x:c>
      <x:c r="H56" s="13" t="n">
        <x:f>C56-D56-G56+(E56-F56)*'Raw Labour'!K56</x:f>
        <x:v>210</x:v>
      </x:c>
      <x:c r="I56" s="13" t="n">
        <x:f>'Raw Labour'!J56</x:f>
        <x:v>585.1063829787234</x:v>
      </x:c>
      <x:c r="J56" s="13" t="n">
        <x:f>MAX(0,H56-I56)</x:f>
        <x:v>0</x:v>
      </x:c>
      <x:c r="K56" s="12" t="n">
        <x:f>MIN(1,I56/H56)</x:f>
        <x:v>1</x:v>
      </x:c>
    </x:row>
    <x:row r="57" ht="22" customHeight="1">
      <x:c r="A57" s="5" t="n">
        <x:f>'Raw Labour'!A57</x:f>
        <x:v>20250620</x:v>
      </x:c>
      <x:c r="B57" s="5" t="str">
        <x:f>IF(TRIM(LOWER('Raw Labour'!C57))="delivery","DEL",IF(TRIM(LOWER('Raw Labour'!C57))="recycling","REC",IF(TRIM(LOWER('Raw Labour'!C57))="picking","PCK","UNMAPPED")))</x:f>
        <x:v>REC</x:v>
      </x:c>
      <x:c r="C57" s="13" t="n">
        <x:f>'Raw Labour'!D57*'Raw Labour'!E57</x:f>
        <x:v>90</x:v>
      </x:c>
      <x:c r="D57" s="13" t="n">
        <x:f>'Raw Labour'!F57</x:f>
        <x:v>0</x:v>
      </x:c>
      <x:c r="E57" s="13" t="n">
        <x:f>'Raw Labour'!G57</x:f>
        <x:v>0</x:v>
      </x:c>
      <x:c r="F57" s="13" t="n">
        <x:f>'Raw Labour'!H57</x:f>
        <x:v>0</x:v>
      </x:c>
      <x:c r="G57" s="13" t="n">
        <x:f>'Raw Labour'!I57</x:f>
        <x:v>0</x:v>
      </x:c>
      <x:c r="H57" s="13" t="n">
        <x:f>C57-D57-G57+(E57-F57)*'Raw Labour'!K57</x:f>
        <x:v>90</x:v>
      </x:c>
      <x:c r="I57" s="13" t="n">
        <x:f>'Raw Labour'!J57</x:f>
        <x:v>40</x:v>
      </x:c>
      <x:c r="J57" s="13" t="n">
        <x:f>MAX(0,H57-I57)</x:f>
        <x:v>50</x:v>
      </x:c>
      <x:c r="K57" s="12" t="n">
        <x:f>MIN(1,I57/H57)</x:f>
        <x:v>0.4444444444444444</x:v>
      </x:c>
    </x:row>
    <x:row r="58" ht="22" customHeight="1">
      <x:c r="A58" s="5" t="n">
        <x:f>'Raw Labour'!A58</x:f>
        <x:v>20250620</x:v>
      </x:c>
      <x:c r="B58" s="5" t="str">
        <x:f>IF(TRIM(LOWER('Raw Labour'!C58))="delivery","DEL",IF(TRIM(LOWER('Raw Labour'!C58))="recycling","REC",IF(TRIM(LOWER('Raw Labour'!C58))="picking","PCK","UNMAPPED")))</x:f>
        <x:v>PCK</x:v>
      </x:c>
      <x:c r="C58" s="13" t="n">
        <x:f>'Raw Labour'!D58*'Raw Labour'!E58</x:f>
        <x:v>180</x:v>
      </x:c>
      <x:c r="D58" s="13" t="n">
        <x:f>'Raw Labour'!F58</x:f>
        <x:v>0</x:v>
      </x:c>
      <x:c r="E58" s="13" t="n">
        <x:f>'Raw Labour'!G58</x:f>
        <x:v>0</x:v>
      </x:c>
      <x:c r="F58" s="13" t="n">
        <x:f>'Raw Labour'!H58</x:f>
        <x:v>0</x:v>
      </x:c>
      <x:c r="G58" s="13" t="n">
        <x:f>'Raw Labour'!I58</x:f>
        <x:v>0</x:v>
      </x:c>
      <x:c r="H58" s="13" t="n">
        <x:f>C58-D58-G58+(E58-F58)*'Raw Labour'!K58</x:f>
        <x:v>180</x:v>
      </x:c>
      <x:c r="I58" s="13" t="n">
        <x:f>'Raw Labour'!J58</x:f>
        <x:v>154</x:v>
      </x:c>
      <x:c r="J58" s="13" t="n">
        <x:f>MAX(0,H58-I58)</x:f>
        <x:v>26</x:v>
      </x:c>
      <x:c r="K58" s="12" t="n">
        <x:f>MIN(1,I58/H58)</x:f>
        <x:v>0.8555555555555555</x:v>
      </x:c>
    </x:row>
    <x:row r="59" ht="22" customHeight="1">
      <x:c r="A59" s="5" t="n">
        <x:f>'Raw Labour'!A59</x:f>
        <x:v>20250621</x:v>
      </x:c>
      <x:c r="B59" s="5" t="str">
        <x:f>IF(TRIM(LOWER('Raw Labour'!C59))="delivery","DEL",IF(TRIM(LOWER('Raw Labour'!C59))="recycling","REC",IF(TRIM(LOWER('Raw Labour'!C59))="picking","PCK","UNMAPPED")))</x:f>
        <x:v>DEL</x:v>
      </x:c>
      <x:c r="C59" s="13" t="n">
        <x:f>'Raw Labour'!D59*'Raw Labour'!E59</x:f>
        <x:v>210</x:v>
      </x:c>
      <x:c r="D59" s="13" t="n">
        <x:f>'Raw Labour'!F59</x:f>
        <x:v>0</x:v>
      </x:c>
      <x:c r="E59" s="13" t="n">
        <x:f>'Raw Labour'!G59</x:f>
        <x:v>0</x:v>
      </x:c>
      <x:c r="F59" s="13" t="n">
        <x:f>'Raw Labour'!H59</x:f>
        <x:v>0</x:v>
      </x:c>
      <x:c r="G59" s="13" t="n">
        <x:f>'Raw Labour'!I59</x:f>
        <x:v>0</x:v>
      </x:c>
      <x:c r="H59" s="13" t="n">
        <x:f>C59-D59-G59+(E59-F59)*'Raw Labour'!K59</x:f>
        <x:v>210</x:v>
      </x:c>
      <x:c r="I59" s="13" t="n">
        <x:f>'Raw Labour'!J59</x:f>
        <x:v>606.9148936170213</x:v>
      </x:c>
      <x:c r="J59" s="13" t="n">
        <x:f>MAX(0,H59-I59)</x:f>
        <x:v>0</x:v>
      </x:c>
      <x:c r="K59" s="12" t="n">
        <x:f>MIN(1,I59/H59)</x:f>
        <x:v>1</x:v>
      </x:c>
    </x:row>
    <x:row r="60" ht="22" customHeight="1">
      <x:c r="A60" s="5" t="n">
        <x:f>'Raw Labour'!A60</x:f>
        <x:v>20250621</x:v>
      </x:c>
      <x:c r="B60" s="5" t="str">
        <x:f>IF(TRIM(LOWER('Raw Labour'!C60))="delivery","DEL",IF(TRIM(LOWER('Raw Labour'!C60))="recycling","REC",IF(TRIM(LOWER('Raw Labour'!C60))="picking","PCK","UNMAPPED")))</x:f>
        <x:v>REC</x:v>
      </x:c>
      <x:c r="C60" s="13" t="n">
        <x:f>'Raw Labour'!D60*'Raw Labour'!E60</x:f>
        <x:v>90</x:v>
      </x:c>
      <x:c r="D60" s="13" t="n">
        <x:f>'Raw Labour'!F60</x:f>
        <x:v>0</x:v>
      </x:c>
      <x:c r="E60" s="13" t="n">
        <x:f>'Raw Labour'!G60</x:f>
        <x:v>0</x:v>
      </x:c>
      <x:c r="F60" s="13" t="n">
        <x:f>'Raw Labour'!H60</x:f>
        <x:v>0</x:v>
      </x:c>
      <x:c r="G60" s="13" t="n">
        <x:f>'Raw Labour'!I60</x:f>
        <x:v>0</x:v>
      </x:c>
      <x:c r="H60" s="13" t="n">
        <x:f>C60-D60-G60+(E60-F60)*'Raw Labour'!K60</x:f>
        <x:v>90</x:v>
      </x:c>
      <x:c r="I60" s="13" t="n">
        <x:f>'Raw Labour'!J60</x:f>
        <x:v>40</x:v>
      </x:c>
      <x:c r="J60" s="13" t="n">
        <x:f>MAX(0,H60-I60)</x:f>
        <x:v>50</x:v>
      </x:c>
      <x:c r="K60" s="12" t="n">
        <x:f>MIN(1,I60/H60)</x:f>
        <x:v>0.4444444444444444</x:v>
      </x:c>
    </x:row>
    <x:row r="61" ht="22" customHeight="1">
      <x:c r="A61" s="5" t="n">
        <x:f>'Raw Labour'!A61</x:f>
        <x:v>20250621</x:v>
      </x:c>
      <x:c r="B61" s="5" t="str">
        <x:f>IF(TRIM(LOWER('Raw Labour'!C61))="delivery","DEL",IF(TRIM(LOWER('Raw Labour'!C61))="recycling","REC",IF(TRIM(LOWER('Raw Labour'!C61))="picking","PCK","UNMAPPED")))</x:f>
        <x:v>PCK</x:v>
      </x:c>
      <x:c r="C61" s="13" t="n">
        <x:f>'Raw Labour'!D61*'Raw Labour'!E61</x:f>
        <x:v>180</x:v>
      </x:c>
      <x:c r="D61" s="13" t="n">
        <x:f>'Raw Labour'!F61</x:f>
        <x:v>0</x:v>
      </x:c>
      <x:c r="E61" s="13" t="n">
        <x:f>'Raw Labour'!G61</x:f>
        <x:v>0</x:v>
      </x:c>
      <x:c r="F61" s="13" t="n">
        <x:f>'Raw Labour'!H61</x:f>
        <x:v>0</x:v>
      </x:c>
      <x:c r="G61" s="13" t="n">
        <x:f>'Raw Labour'!I61</x:f>
        <x:v>0</x:v>
      </x:c>
      <x:c r="H61" s="13" t="n">
        <x:f>C61-D61-G61+(E61-F61)*'Raw Labour'!K61</x:f>
        <x:v>180</x:v>
      </x:c>
      <x:c r="I61" s="13" t="n">
        <x:f>'Raw Labour'!J61</x:f>
        <x:v>154</x:v>
      </x:c>
      <x:c r="J61" s="13" t="n">
        <x:f>MAX(0,H61-I61)</x:f>
        <x:v>26</x:v>
      </x:c>
      <x:c r="K61" s="12" t="n">
        <x:f>MIN(1,I61/H61)</x:f>
        <x:v>0.8555555555555555</x:v>
      </x:c>
    </x:row>
    <x:row r="62" ht="22" customHeight="1">
      <x:c r="A62" s="5" t="n">
        <x:f>'Raw Labour'!A62</x:f>
        <x:v>20250622</x:v>
      </x:c>
      <x:c r="B62" s="5" t="str">
        <x:f>IF(TRIM(LOWER('Raw Labour'!C62))="delivery","DEL",IF(TRIM(LOWER('Raw Labour'!C62))="recycling","REC",IF(TRIM(LOWER('Raw Labour'!C62))="picking","PCK","UNMAPPED")))</x:f>
        <x:v>DEL</x:v>
      </x:c>
      <x:c r="C62" s="13" t="n">
        <x:f>'Raw Labour'!D62*'Raw Labour'!E62</x:f>
        <x:v>210</x:v>
      </x:c>
      <x:c r="D62" s="13" t="n">
        <x:f>'Raw Labour'!F62</x:f>
        <x:v>0</x:v>
      </x:c>
      <x:c r="E62" s="13" t="n">
        <x:f>'Raw Labour'!G62</x:f>
        <x:v>0</x:v>
      </x:c>
      <x:c r="F62" s="13" t="n">
        <x:f>'Raw Labour'!H62</x:f>
        <x:v>0</x:v>
      </x:c>
      <x:c r="G62" s="13" t="n">
        <x:f>'Raw Labour'!I62</x:f>
        <x:v>0</x:v>
      </x:c>
      <x:c r="H62" s="13" t="n">
        <x:f>C62-D62-G62+(E62-F62)*'Raw Labour'!K62</x:f>
        <x:v>210</x:v>
      </x:c>
      <x:c r="I62" s="13" t="n">
        <x:f>'Raw Labour'!J62</x:f>
        <x:v>638.2978723404256</x:v>
      </x:c>
      <x:c r="J62" s="13" t="n">
        <x:f>MAX(0,H62-I62)</x:f>
        <x:v>0</x:v>
      </x:c>
      <x:c r="K62" s="12" t="n">
        <x:f>MIN(1,I62/H62)</x:f>
        <x:v>1</x:v>
      </x:c>
    </x:row>
    <x:row r="63" ht="22" customHeight="1">
      <x:c r="A63" s="5" t="n">
        <x:f>'Raw Labour'!A63</x:f>
        <x:v>20250622</x:v>
      </x:c>
      <x:c r="B63" s="5" t="str">
        <x:f>IF(TRIM(LOWER('Raw Labour'!C63))="delivery","DEL",IF(TRIM(LOWER('Raw Labour'!C63))="recycling","REC",IF(TRIM(LOWER('Raw Labour'!C63))="picking","PCK","UNMAPPED")))</x:f>
        <x:v>REC</x:v>
      </x:c>
      <x:c r="C63" s="13" t="n">
        <x:f>'Raw Labour'!D63*'Raw Labour'!E63</x:f>
        <x:v>90</x:v>
      </x:c>
      <x:c r="D63" s="13" t="n">
        <x:f>'Raw Labour'!F63</x:f>
        <x:v>0</x:v>
      </x:c>
      <x:c r="E63" s="13" t="n">
        <x:f>'Raw Labour'!G63</x:f>
        <x:v>0</x:v>
      </x:c>
      <x:c r="F63" s="13" t="n">
        <x:f>'Raw Labour'!H63</x:f>
        <x:v>0</x:v>
      </x:c>
      <x:c r="G63" s="13" t="n">
        <x:f>'Raw Labour'!I63</x:f>
        <x:v>0</x:v>
      </x:c>
      <x:c r="H63" s="13" t="n">
        <x:f>C63-D63-G63+(E63-F63)*'Raw Labour'!K63</x:f>
        <x:v>90</x:v>
      </x:c>
      <x:c r="I63" s="13" t="n">
        <x:f>'Raw Labour'!J63</x:f>
        <x:v>40</x:v>
      </x:c>
      <x:c r="J63" s="13" t="n">
        <x:f>MAX(0,H63-I63)</x:f>
        <x:v>50</x:v>
      </x:c>
      <x:c r="K63" s="12" t="n">
        <x:f>MIN(1,I63/H63)</x:f>
        <x:v>0.4444444444444444</x:v>
      </x:c>
    </x:row>
    <x:row r="64" ht="22" customHeight="1">
      <x:c r="A64" s="5" t="n">
        <x:f>'Raw Labour'!A64</x:f>
        <x:v>20250622</x:v>
      </x:c>
      <x:c r="B64" s="5" t="str">
        <x:f>IF(TRIM(LOWER('Raw Labour'!C64))="delivery","DEL",IF(TRIM(LOWER('Raw Labour'!C64))="recycling","REC",IF(TRIM(LOWER('Raw Labour'!C64))="picking","PCK","UNMAPPED")))</x:f>
        <x:v>PCK</x:v>
      </x:c>
      <x:c r="C64" s="13" t="n">
        <x:f>'Raw Labour'!D64*'Raw Labour'!E64</x:f>
        <x:v>180</x:v>
      </x:c>
      <x:c r="D64" s="13" t="n">
        <x:f>'Raw Labour'!F64</x:f>
        <x:v>0</x:v>
      </x:c>
      <x:c r="E64" s="13" t="n">
        <x:f>'Raw Labour'!G64</x:f>
        <x:v>0</x:v>
      </x:c>
      <x:c r="F64" s="13" t="n">
        <x:f>'Raw Labour'!H64</x:f>
        <x:v>0</x:v>
      </x:c>
      <x:c r="G64" s="13" t="n">
        <x:f>'Raw Labour'!I64</x:f>
        <x:v>0</x:v>
      </x:c>
      <x:c r="H64" s="13" t="n">
        <x:f>C64-D64-G64+(E64-F64)*'Raw Labour'!K64</x:f>
        <x:v>180</x:v>
      </x:c>
      <x:c r="I64" s="13" t="n">
        <x:f>'Raw Labour'!J64</x:f>
        <x:v>154</x:v>
      </x:c>
      <x:c r="J64" s="13" t="n">
        <x:f>MAX(0,H64-I64)</x:f>
        <x:v>26</x:v>
      </x:c>
      <x:c r="K64" s="12" t="n">
        <x:f>MIN(1,I64/H64)</x:f>
        <x:v>0.8555555555555555</x:v>
      </x:c>
    </x:row>
    <x:row r="65" ht="22" customHeight="1">
      <x:c r="A65" s="5" t="n">
        <x:f>'Raw Labour'!A65</x:f>
        <x:v>20250623</x:v>
      </x:c>
      <x:c r="B65" s="5" t="str">
        <x:f>IF(TRIM(LOWER('Raw Labour'!C65))="delivery","DEL",IF(TRIM(LOWER('Raw Labour'!C65))="recycling","REC",IF(TRIM(LOWER('Raw Labour'!C65))="picking","PCK","UNMAPPED")))</x:f>
        <x:v>DEL</x:v>
      </x:c>
      <x:c r="C65" s="13" t="n">
        <x:f>'Raw Labour'!D65*'Raw Labour'!E65</x:f>
        <x:v>210</x:v>
      </x:c>
      <x:c r="D65" s="13" t="n">
        <x:f>'Raw Labour'!F65</x:f>
        <x:v>0</x:v>
      </x:c>
      <x:c r="E65" s="13" t="n">
        <x:f>'Raw Labour'!G65</x:f>
        <x:v>15</x:v>
      </x:c>
      <x:c r="F65" s="13" t="n">
        <x:f>'Raw Labour'!H65</x:f>
        <x:v>6</x:v>
      </x:c>
      <x:c r="G65" s="13" t="n">
        <x:f>'Raw Labour'!I65</x:f>
        <x:v>0.8</x:v>
      </x:c>
      <x:c r="H65" s="13" t="n">
        <x:f>C65-D65-G65+(E65-F65)*'Raw Labour'!K65</x:f>
        <x:v>213.25</x:v>
      </x:c>
      <x:c r="I65" s="13" t="n">
        <x:f>'Raw Labour'!J65</x:f>
        <x:v>606.3106796116505</x:v>
      </x:c>
      <x:c r="J65" s="13" t="n">
        <x:f>MAX(0,H65-I65)</x:f>
        <x:v>0</x:v>
      </x:c>
      <x:c r="K65" s="12" t="n">
        <x:f>MIN(1,I65/H65)</x:f>
        <x:v>1</x:v>
      </x:c>
    </x:row>
    <x:row r="66" ht="22" customHeight="1">
      <x:c r="A66" s="5" t="n">
        <x:f>'Raw Labour'!A66</x:f>
        <x:v>20250623</x:v>
      </x:c>
      <x:c r="B66" s="5" t="str">
        <x:f>IF(TRIM(LOWER('Raw Labour'!C66))="delivery","DEL",IF(TRIM(LOWER('Raw Labour'!C66))="recycling","REC",IF(TRIM(LOWER('Raw Labour'!C66))="picking","PCK","UNMAPPED")))</x:f>
        <x:v>REC</x:v>
      </x:c>
      <x:c r="C66" s="13" t="n">
        <x:f>'Raw Labour'!D66*'Raw Labour'!E66</x:f>
        <x:v>90</x:v>
      </x:c>
      <x:c r="D66" s="13" t="n">
        <x:f>'Raw Labour'!F66</x:f>
        <x:v>15</x:v>
      </x:c>
      <x:c r="E66" s="13" t="n">
        <x:f>'Raw Labour'!G66</x:f>
        <x:v>0</x:v>
      </x:c>
      <x:c r="F66" s="13" t="n">
        <x:f>'Raw Labour'!H66</x:f>
        <x:v>0</x:v>
      </x:c>
      <x:c r="G66" s="13" t="n">
        <x:f>'Raw Labour'!I66</x:f>
        <x:v>0</x:v>
      </x:c>
      <x:c r="H66" s="13" t="n">
        <x:f>C66-D66-G66+(E66-F66)*'Raw Labour'!K66</x:f>
        <x:v>75</x:v>
      </x:c>
      <x:c r="I66" s="13" t="n">
        <x:f>'Raw Labour'!J66</x:f>
        <x:v>44.2</x:v>
      </x:c>
      <x:c r="J66" s="13" t="n">
        <x:f>MAX(0,H66-I66)</x:f>
        <x:v>30.799999999999997</x:v>
      </x:c>
      <x:c r="K66" s="12" t="n">
        <x:f>MIN(1,I66/H66)</x:f>
        <x:v>0.5893333333333334</x:v>
      </x:c>
    </x:row>
    <x:row r="67" ht="22" customHeight="1">
      <x:c r="A67" s="5" t="n">
        <x:f>'Raw Labour'!A67</x:f>
        <x:v>20250623</x:v>
      </x:c>
      <x:c r="B67" s="5" t="str">
        <x:f>IF(TRIM(LOWER('Raw Labour'!C67))="delivery","DEL",IF(TRIM(LOWER('Raw Labour'!C67))="recycling","REC",IF(TRIM(LOWER('Raw Labour'!C67))="picking","PCK","UNMAPPED")))</x:f>
        <x:v>PCK</x:v>
      </x:c>
      <x:c r="C67" s="13" t="n">
        <x:f>'Raw Labour'!D67*'Raw Labour'!E67</x:f>
        <x:v>180</x:v>
      </x:c>
      <x:c r="D67" s="13" t="n">
        <x:f>'Raw Labour'!F67</x:f>
        <x:v>0</x:v>
      </x:c>
      <x:c r="E67" s="13" t="n">
        <x:f>'Raw Labour'!G67</x:f>
        <x:v>0</x:v>
      </x:c>
      <x:c r="F67" s="13" t="n">
        <x:f>'Raw Labour'!H67</x:f>
        <x:v>0</x:v>
      </x:c>
      <x:c r="G67" s="13" t="n">
        <x:f>'Raw Labour'!I67</x:f>
        <x:v>0</x:v>
      </x:c>
      <x:c r="H67" s="13" t="n">
        <x:f>C67-D67-G67+(E67-F67)*'Raw Labour'!K67</x:f>
        <x:v>180</x:v>
      </x:c>
      <x:c r="I67" s="13" t="n">
        <x:f>'Raw Labour'!J67</x:f>
        <x:v>160.6</x:v>
      </x:c>
      <x:c r="J67" s="13" t="n">
        <x:f>MAX(0,H67-I67)</x:f>
        <x:v>19.400000000000006</x:v>
      </x:c>
      <x:c r="K67" s="12" t="n">
        <x:f>MIN(1,I67/H67)</x:f>
        <x:v>0.8922222222222221</x:v>
      </x:c>
    </x:row>
    <x:row r="68" ht="22" customHeight="1">
      <x:c r="A68" s="5" t="n">
        <x:f>'Raw Labour'!A68</x:f>
        <x:v>20250624</x:v>
      </x:c>
      <x:c r="B68" s="5" t="str">
        <x:f>IF(TRIM(LOWER('Raw Labour'!C68))="delivery","DEL",IF(TRIM(LOWER('Raw Labour'!C68))="recycling","REC",IF(TRIM(LOWER('Raw Labour'!C68))="picking","PCK","UNMAPPED")))</x:f>
        <x:v>DEL</x:v>
      </x:c>
      <x:c r="C68" s="13" t="n">
        <x:f>'Raw Labour'!D68*'Raw Labour'!E68</x:f>
        <x:v>210</x:v>
      </x:c>
      <x:c r="D68" s="13" t="n">
        <x:f>'Raw Labour'!F68</x:f>
        <x:v>0</x:v>
      </x:c>
      <x:c r="E68" s="13" t="n">
        <x:f>'Raw Labour'!G68</x:f>
        <x:v>15</x:v>
      </x:c>
      <x:c r="F68" s="13" t="n">
        <x:f>'Raw Labour'!H68</x:f>
        <x:v>6</x:v>
      </x:c>
      <x:c r="G68" s="13" t="n">
        <x:f>'Raw Labour'!I68</x:f>
        <x:v>0.8</x:v>
      </x:c>
      <x:c r="H68" s="13" t="n">
        <x:f>C68-D68-G68+(E68-F68)*'Raw Labour'!K68</x:f>
        <x:v>213.25</x:v>
      </x:c>
      <x:c r="I68" s="13" t="n">
        <x:f>'Raw Labour'!J68</x:f>
        <x:v>617.9611650485436</x:v>
      </x:c>
      <x:c r="J68" s="13" t="n">
        <x:f>MAX(0,H68-I68)</x:f>
        <x:v>0</x:v>
      </x:c>
      <x:c r="K68" s="12" t="n">
        <x:f>MIN(1,I68/H68)</x:f>
        <x:v>1</x:v>
      </x:c>
    </x:row>
    <x:row r="69" ht="22" customHeight="1">
      <x:c r="A69" s="5" t="n">
        <x:f>'Raw Labour'!A69</x:f>
        <x:v>20250624</x:v>
      </x:c>
      <x:c r="B69" s="5" t="str">
        <x:f>IF(TRIM(LOWER('Raw Labour'!C69))="delivery","DEL",IF(TRIM(LOWER('Raw Labour'!C69))="recycling","REC",IF(TRIM(LOWER('Raw Labour'!C69))="picking","PCK","UNMAPPED")))</x:f>
        <x:v>REC</x:v>
      </x:c>
      <x:c r="C69" s="13" t="n">
        <x:f>'Raw Labour'!D69*'Raw Labour'!E69</x:f>
        <x:v>90</x:v>
      </x:c>
      <x:c r="D69" s="13" t="n">
        <x:f>'Raw Labour'!F69</x:f>
        <x:v>15</x:v>
      </x:c>
      <x:c r="E69" s="13" t="n">
        <x:f>'Raw Labour'!G69</x:f>
        <x:v>0</x:v>
      </x:c>
      <x:c r="F69" s="13" t="n">
        <x:f>'Raw Labour'!H69</x:f>
        <x:v>0</x:v>
      </x:c>
      <x:c r="G69" s="13" t="n">
        <x:f>'Raw Labour'!I69</x:f>
        <x:v>0</x:v>
      </x:c>
      <x:c r="H69" s="13" t="n">
        <x:f>C69-D69-G69+(E69-F69)*'Raw Labour'!K69</x:f>
        <x:v>75</x:v>
      </x:c>
      <x:c r="I69" s="13" t="n">
        <x:f>'Raw Labour'!J69</x:f>
        <x:v>47.2</x:v>
      </x:c>
      <x:c r="J69" s="13" t="n">
        <x:f>MAX(0,H69-I69)</x:f>
        <x:v>27.799999999999997</x:v>
      </x:c>
      <x:c r="K69" s="12" t="n">
        <x:f>MIN(1,I69/H69)</x:f>
        <x:v>0.6293333333333334</x:v>
      </x:c>
    </x:row>
    <x:row r="70" ht="22" customHeight="1">
      <x:c r="A70" s="5" t="n">
        <x:f>'Raw Labour'!A70</x:f>
        <x:v>20250624</x:v>
      </x:c>
      <x:c r="B70" s="5" t="str">
        <x:f>IF(TRIM(LOWER('Raw Labour'!C70))="delivery","DEL",IF(TRIM(LOWER('Raw Labour'!C70))="recycling","REC",IF(TRIM(LOWER('Raw Labour'!C70))="picking","PCK","UNMAPPED")))</x:f>
        <x:v>PCK</x:v>
      </x:c>
      <x:c r="C70" s="13" t="n">
        <x:f>'Raw Labour'!D70*'Raw Labour'!E70</x:f>
        <x:v>180</x:v>
      </x:c>
      <x:c r="D70" s="13" t="n">
        <x:f>'Raw Labour'!F70</x:f>
        <x:v>0</x:v>
      </x:c>
      <x:c r="E70" s="13" t="n">
        <x:f>'Raw Labour'!G70</x:f>
        <x:v>0</x:v>
      </x:c>
      <x:c r="F70" s="13" t="n">
        <x:f>'Raw Labour'!H70</x:f>
        <x:v>0</x:v>
      </x:c>
      <x:c r="G70" s="13" t="n">
        <x:f>'Raw Labour'!I70</x:f>
        <x:v>0</x:v>
      </x:c>
      <x:c r="H70" s="13" t="n">
        <x:f>C70-D70-G70+(E70-F70)*'Raw Labour'!K70</x:f>
        <x:v>180</x:v>
      </x:c>
      <x:c r="I70" s="13" t="n">
        <x:f>'Raw Labour'!J70</x:f>
        <x:v>164.6</x:v>
      </x:c>
      <x:c r="J70" s="13" t="n">
        <x:f>MAX(0,H70-I70)</x:f>
        <x:v>15.400000000000006</x:v>
      </x:c>
      <x:c r="K70" s="12" t="n">
        <x:f>MIN(1,I70/H70)</x:f>
        <x:v>0.9144444444444444</x:v>
      </x:c>
    </x:row>
    <x:row r="71" ht="22" customHeight="1">
      <x:c r="A71" s="5" t="n">
        <x:f>'Raw Labour'!A71</x:f>
        <x:v>20250625</x:v>
      </x:c>
      <x:c r="B71" s="5" t="str">
        <x:f>IF(TRIM(LOWER('Raw Labour'!C71))="delivery","DEL",IF(TRIM(LOWER('Raw Labour'!C71))="recycling","REC",IF(TRIM(LOWER('Raw Labour'!C71))="picking","PCK","UNMAPPED")))</x:f>
        <x:v>DEL</x:v>
      </x:c>
      <x:c r="C71" s="13" t="n">
        <x:f>'Raw Labour'!D71*'Raw Labour'!E71</x:f>
        <x:v>210</x:v>
      </x:c>
      <x:c r="D71" s="13" t="n">
        <x:f>'Raw Labour'!F71</x:f>
        <x:v>0</x:v>
      </x:c>
      <x:c r="E71" s="13" t="n">
        <x:f>'Raw Labour'!G71</x:f>
        <x:v>15</x:v>
      </x:c>
      <x:c r="F71" s="13" t="n">
        <x:f>'Raw Labour'!H71</x:f>
        <x:v>6</x:v>
      </x:c>
      <x:c r="G71" s="13" t="n">
        <x:f>'Raw Labour'!I71</x:f>
        <x:v>0.8</x:v>
      </x:c>
      <x:c r="H71" s="13" t="n">
        <x:f>C71-D71-G71+(E71-F71)*'Raw Labour'!K71</x:f>
        <x:v>213.25</x:v>
      </x:c>
      <x:c r="I71" s="13" t="n">
        <x:f>'Raw Labour'!J71</x:f>
        <x:v>634.4660194174758</x:v>
      </x:c>
      <x:c r="J71" s="13" t="n">
        <x:f>MAX(0,H71-I71)</x:f>
        <x:v>0</x:v>
      </x:c>
      <x:c r="K71" s="12" t="n">
        <x:f>MIN(1,I71/H71)</x:f>
        <x:v>1</x:v>
      </x:c>
    </x:row>
    <x:row r="72" ht="22" customHeight="1">
      <x:c r="A72" s="5" t="n">
        <x:f>'Raw Labour'!A72</x:f>
        <x:v>20250625</x:v>
      </x:c>
      <x:c r="B72" s="5" t="str">
        <x:f>IF(TRIM(LOWER('Raw Labour'!C72))="delivery","DEL",IF(TRIM(LOWER('Raw Labour'!C72))="recycling","REC",IF(TRIM(LOWER('Raw Labour'!C72))="picking","PCK","UNMAPPED")))</x:f>
        <x:v>REC</x:v>
      </x:c>
      <x:c r="C72" s="13" t="n">
        <x:f>'Raw Labour'!D72*'Raw Labour'!E72</x:f>
        <x:v>90</x:v>
      </x:c>
      <x:c r="D72" s="13" t="n">
        <x:f>'Raw Labour'!F72</x:f>
        <x:v>15</x:v>
      </x:c>
      <x:c r="E72" s="13" t="n">
        <x:f>'Raw Labour'!G72</x:f>
        <x:v>0</x:v>
      </x:c>
      <x:c r="F72" s="13" t="n">
        <x:f>'Raw Labour'!H72</x:f>
        <x:v>0</x:v>
      </x:c>
      <x:c r="G72" s="13" t="n">
        <x:f>'Raw Labour'!I72</x:f>
        <x:v>0</x:v>
      </x:c>
      <x:c r="H72" s="13" t="n">
        <x:f>C72-D72-G72+(E72-F72)*'Raw Labour'!K72</x:f>
        <x:v>75</x:v>
      </x:c>
      <x:c r="I72" s="13" t="n">
        <x:f>'Raw Labour'!J72</x:f>
        <x:v>48.7</x:v>
      </x:c>
      <x:c r="J72" s="13" t="n">
        <x:f>MAX(0,H72-I72)</x:f>
        <x:v>26.299999999999997</x:v>
      </x:c>
      <x:c r="K72" s="12" t="n">
        <x:f>MIN(1,I72/H72)</x:f>
        <x:v>0.6493333333333333</x:v>
      </x:c>
    </x:row>
    <x:row r="73" ht="22" customHeight="1">
      <x:c r="A73" s="5" t="n">
        <x:f>'Raw Labour'!A73</x:f>
        <x:v>20250625</x:v>
      </x:c>
      <x:c r="B73" s="5" t="str">
        <x:f>IF(TRIM(LOWER('Raw Labour'!C73))="delivery","DEL",IF(TRIM(LOWER('Raw Labour'!C73))="recycling","REC",IF(TRIM(LOWER('Raw Labour'!C73))="picking","PCK","UNMAPPED")))</x:f>
        <x:v>PCK</x:v>
      </x:c>
      <x:c r="C73" s="13" t="n">
        <x:f>'Raw Labour'!D73*'Raw Labour'!E73</x:f>
        <x:v>180</x:v>
      </x:c>
      <x:c r="D73" s="13" t="n">
        <x:f>'Raw Labour'!F73</x:f>
        <x:v>0</x:v>
      </x:c>
      <x:c r="E73" s="13" t="n">
        <x:f>'Raw Labour'!G73</x:f>
        <x:v>0</x:v>
      </x:c>
      <x:c r="F73" s="13" t="n">
        <x:f>'Raw Labour'!H73</x:f>
        <x:v>0</x:v>
      </x:c>
      <x:c r="G73" s="13" t="n">
        <x:f>'Raw Labour'!I73</x:f>
        <x:v>0</x:v>
      </x:c>
      <x:c r="H73" s="13" t="n">
        <x:f>C73-D73-G73+(E73-F73)*'Raw Labour'!K73</x:f>
        <x:v>180</x:v>
      </x:c>
      <x:c r="I73" s="13" t="n">
        <x:f>'Raw Labour'!J73</x:f>
        <x:v>166.6</x:v>
      </x:c>
      <x:c r="J73" s="13" t="n">
        <x:f>MAX(0,H73-I73)</x:f>
        <x:v>13.400000000000006</x:v>
      </x:c>
      <x:c r="K73" s="12" t="n">
        <x:f>MIN(1,I73/H73)</x:f>
        <x:v>0.9255555555555556</x:v>
      </x:c>
    </x:row>
    <x:row r="74" ht="22" customHeight="1">
      <x:c r="A74" s="5" t="n">
        <x:f>'Raw Labour'!A74</x:f>
        <x:v>20250626</x:v>
      </x:c>
      <x:c r="B74" s="5" t="str">
        <x:f>IF(TRIM(LOWER('Raw Labour'!C74))="delivery","DEL",IF(TRIM(LOWER('Raw Labour'!C74))="recycling","REC",IF(TRIM(LOWER('Raw Labour'!C74))="picking","PCK","UNMAPPED")))</x:f>
        <x:v>DEL</x:v>
      </x:c>
      <x:c r="C74" s="13" t="n">
        <x:f>'Raw Labour'!D74*'Raw Labour'!E74</x:f>
        <x:v>210</x:v>
      </x:c>
      <x:c r="D74" s="13" t="n">
        <x:f>'Raw Labour'!F74</x:f>
        <x:v>0</x:v>
      </x:c>
      <x:c r="E74" s="13" t="n">
        <x:f>'Raw Labour'!G74</x:f>
        <x:v>30</x:v>
      </x:c>
      <x:c r="F74" s="13" t="n">
        <x:f>'Raw Labour'!H74</x:f>
        <x:v>0</x:v>
      </x:c>
      <x:c r="G74" s="13" t="n">
        <x:f>'Raw Labour'!I74</x:f>
        <x:v>1.6</x:v>
      </x:c>
      <x:c r="H74" s="13" t="n">
        <x:f>C74-D74-G74+(E74-F74)*'Raw Labour'!K74</x:f>
        <x:v>227</x:v>
      </x:c>
      <x:c r="I74" s="13" t="n">
        <x:f>'Raw Labour'!J74</x:f>
        <x:v>638.8349514563107</x:v>
      </x:c>
      <x:c r="J74" s="13" t="n">
        <x:f>MAX(0,H74-I74)</x:f>
        <x:v>0</x:v>
      </x:c>
      <x:c r="K74" s="12" t="n">
        <x:f>MIN(1,I74/H74)</x:f>
        <x:v>1</x:v>
      </x:c>
    </x:row>
    <x:row r="75" ht="22" customHeight="1">
      <x:c r="A75" s="5" t="n">
        <x:f>'Raw Labour'!A75</x:f>
        <x:v>20250626</x:v>
      </x:c>
      <x:c r="B75" s="5" t="str">
        <x:f>IF(TRIM(LOWER('Raw Labour'!C75))="delivery","DEL",IF(TRIM(LOWER('Raw Labour'!C75))="recycling","REC",IF(TRIM(LOWER('Raw Labour'!C75))="picking","PCK","UNMAPPED")))</x:f>
        <x:v>REC</x:v>
      </x:c>
      <x:c r="C75" s="13" t="n">
        <x:f>'Raw Labour'!D75*'Raw Labour'!E75</x:f>
        <x:v>90</x:v>
      </x:c>
      <x:c r="D75" s="13" t="n">
        <x:f>'Raw Labour'!F75</x:f>
        <x:v>30</x:v>
      </x:c>
      <x:c r="E75" s="13" t="n">
        <x:f>'Raw Labour'!G75</x:f>
        <x:v>0</x:v>
      </x:c>
      <x:c r="F75" s="13" t="n">
        <x:f>'Raw Labour'!H75</x:f>
        <x:v>0</x:v>
      </x:c>
      <x:c r="G75" s="13" t="n">
        <x:f>'Raw Labour'!I75</x:f>
        <x:v>0</x:v>
      </x:c>
      <x:c r="H75" s="13" t="n">
        <x:f>C75-D75-G75+(E75-F75)*'Raw Labour'!K75</x:f>
        <x:v>60</x:v>
      </x:c>
      <x:c r="I75" s="13" t="n">
        <x:f>'Raw Labour'!J75</x:f>
        <x:v>44.95</x:v>
      </x:c>
      <x:c r="J75" s="13" t="n">
        <x:f>MAX(0,H75-I75)</x:f>
        <x:v>15.049999999999997</x:v>
      </x:c>
      <x:c r="K75" s="12" t="n">
        <x:f>MIN(1,I75/H75)</x:f>
        <x:v>0.7491666666666668</x:v>
      </x:c>
    </x:row>
    <x:row r="76" ht="22" customHeight="1">
      <x:c r="A76" s="5" t="n">
        <x:f>'Raw Labour'!A76</x:f>
        <x:v>20250626</x:v>
      </x:c>
      <x:c r="B76" s="5" t="str">
        <x:f>IF(TRIM(LOWER('Raw Labour'!C76))="delivery","DEL",IF(TRIM(LOWER('Raw Labour'!C76))="recycling","REC",IF(TRIM(LOWER('Raw Labour'!C76))="picking","PCK","UNMAPPED")))</x:f>
        <x:v>PCK</x:v>
      </x:c>
      <x:c r="C76" s="13" t="n">
        <x:f>'Raw Labour'!D76*'Raw Labour'!E76</x:f>
        <x:v>180</x:v>
      </x:c>
      <x:c r="D76" s="13" t="n">
        <x:f>'Raw Labour'!F76</x:f>
        <x:v>0</x:v>
      </x:c>
      <x:c r="E76" s="13" t="n">
        <x:f>'Raw Labour'!G76</x:f>
        <x:v>0</x:v>
      </x:c>
      <x:c r="F76" s="13" t="n">
        <x:f>'Raw Labour'!H76</x:f>
        <x:v>0</x:v>
      </x:c>
      <x:c r="G76" s="13" t="n">
        <x:f>'Raw Labour'!I76</x:f>
        <x:v>0</x:v>
      </x:c>
      <x:c r="H76" s="13" t="n">
        <x:f>C76-D76-G76+(E76-F76)*'Raw Labour'!K76</x:f>
        <x:v>180</x:v>
      </x:c>
      <x:c r="I76" s="13" t="n">
        <x:f>'Raw Labour'!J76</x:f>
        <x:v>161.6</x:v>
      </x:c>
      <x:c r="J76" s="13" t="n">
        <x:f>MAX(0,H76-I76)</x:f>
        <x:v>18.400000000000006</x:v>
      </x:c>
      <x:c r="K76" s="12" t="n">
        <x:f>MIN(1,I76/H76)</x:f>
        <x:v>0.8977777777777778</x:v>
      </x:c>
    </x:row>
    <x:row r="77" ht="22" customHeight="1">
      <x:c r="A77" s="5" t="n">
        <x:f>'Raw Labour'!A77</x:f>
        <x:v>20250627</x:v>
      </x:c>
      <x:c r="B77" s="5" t="str">
        <x:f>IF(TRIM(LOWER('Raw Labour'!C77))="delivery","DEL",IF(TRIM(LOWER('Raw Labour'!C77))="recycling","REC",IF(TRIM(LOWER('Raw Labour'!C77))="picking","PCK","UNMAPPED")))</x:f>
        <x:v>DEL</x:v>
      </x:c>
      <x:c r="C77" s="13" t="n">
        <x:f>'Raw Labour'!D77*'Raw Labour'!E77</x:f>
        <x:v>210</x:v>
      </x:c>
      <x:c r="D77" s="13" t="n">
        <x:f>'Raw Labour'!F77</x:f>
        <x:v>0</x:v>
      </x:c>
      <x:c r="E77" s="13" t="n">
        <x:f>'Raw Labour'!G77</x:f>
        <x:v>30</x:v>
      </x:c>
      <x:c r="F77" s="13" t="n">
        <x:f>'Raw Labour'!H77</x:f>
        <x:v>0</x:v>
      </x:c>
      <x:c r="G77" s="13" t="n">
        <x:f>'Raw Labour'!I77</x:f>
        <x:v>1.6</x:v>
      </x:c>
      <x:c r="H77" s="13" t="n">
        <x:f>C77-D77-G77+(E77-F77)*'Raw Labour'!K77</x:f>
        <x:v>227</x:v>
      </x:c>
      <x:c r="I77" s="13" t="n">
        <x:f>'Raw Labour'!J77</x:f>
        <x:v>635.4368932038835</x:v>
      </x:c>
      <x:c r="J77" s="13" t="n">
        <x:f>MAX(0,H77-I77)</x:f>
        <x:v>0</x:v>
      </x:c>
      <x:c r="K77" s="12" t="n">
        <x:f>MIN(1,I77/H77)</x:f>
        <x:v>1</x:v>
      </x:c>
    </x:row>
    <x:row r="78" ht="22" customHeight="1">
      <x:c r="A78" s="5" t="n">
        <x:f>'Raw Labour'!A78</x:f>
        <x:v>20250627</x:v>
      </x:c>
      <x:c r="B78" s="5" t="str">
        <x:f>IF(TRIM(LOWER('Raw Labour'!C78))="delivery","DEL",IF(TRIM(LOWER('Raw Labour'!C78))="recycling","REC",IF(TRIM(LOWER('Raw Labour'!C78))="picking","PCK","UNMAPPED")))</x:f>
        <x:v>REC</x:v>
      </x:c>
      <x:c r="C78" s="13" t="n">
        <x:f>'Raw Labour'!D78*'Raw Labour'!E78</x:f>
        <x:v>90</x:v>
      </x:c>
      <x:c r="D78" s="13" t="n">
        <x:f>'Raw Labour'!F78</x:f>
        <x:v>30</x:v>
      </x:c>
      <x:c r="E78" s="13" t="n">
        <x:f>'Raw Labour'!G78</x:f>
        <x:v>0</x:v>
      </x:c>
      <x:c r="F78" s="13" t="n">
        <x:f>'Raw Labour'!H78</x:f>
        <x:v>0</x:v>
      </x:c>
      <x:c r="G78" s="13" t="n">
        <x:f>'Raw Labour'!I78</x:f>
        <x:v>0</x:v>
      </x:c>
      <x:c r="H78" s="13" t="n">
        <x:f>C78-D78-G78+(E78-F78)*'Raw Labour'!K78</x:f>
        <x:v>60</x:v>
      </x:c>
      <x:c r="I78" s="13" t="n">
        <x:f>'Raw Labour'!J78</x:f>
        <x:v>46.75</x:v>
      </x:c>
      <x:c r="J78" s="13" t="n">
        <x:f>MAX(0,H78-I78)</x:f>
        <x:v>13.25</x:v>
      </x:c>
      <x:c r="K78" s="12" t="n">
        <x:f>MIN(1,I78/H78)</x:f>
        <x:v>0.7791666666666667</x:v>
      </x:c>
    </x:row>
    <x:row r="79" ht="22" customHeight="1">
      <x:c r="A79" s="5" t="n">
        <x:f>'Raw Labour'!A79</x:f>
        <x:v>20250627</x:v>
      </x:c>
      <x:c r="B79" s="5" t="str">
        <x:f>IF(TRIM(LOWER('Raw Labour'!C79))="delivery","DEL",IF(TRIM(LOWER('Raw Labour'!C79))="recycling","REC",IF(TRIM(LOWER('Raw Labour'!C79))="picking","PCK","UNMAPPED")))</x:f>
        <x:v>PCK</x:v>
      </x:c>
      <x:c r="C79" s="13" t="n">
        <x:f>'Raw Labour'!D79*'Raw Labour'!E79</x:f>
        <x:v>180</x:v>
      </x:c>
      <x:c r="D79" s="13" t="n">
        <x:f>'Raw Labour'!F79</x:f>
        <x:v>0</x:v>
      </x:c>
      <x:c r="E79" s="13" t="n">
        <x:f>'Raw Labour'!G79</x:f>
        <x:v>0</x:v>
      </x:c>
      <x:c r="F79" s="13" t="n">
        <x:f>'Raw Labour'!H79</x:f>
        <x:v>0</x:v>
      </x:c>
      <x:c r="G79" s="13" t="n">
        <x:f>'Raw Labour'!I79</x:f>
        <x:v>0</x:v>
      </x:c>
      <x:c r="H79" s="13" t="n">
        <x:f>C79-D79-G79+(E79-F79)*'Raw Labour'!K79</x:f>
        <x:v>180</x:v>
      </x:c>
      <x:c r="I79" s="13" t="n">
        <x:f>'Raw Labour'!J79</x:f>
        <x:v>164</x:v>
      </x:c>
      <x:c r="J79" s="13" t="n">
        <x:f>MAX(0,H79-I79)</x:f>
        <x:v>16</x:v>
      </x:c>
      <x:c r="K79" s="12" t="n">
        <x:f>MIN(1,I79/H79)</x:f>
        <x:v>0.9111111111111111</x:v>
      </x:c>
    </x:row>
    <x:row r="80" ht="22" customHeight="1">
      <x:c r="A80" s="5" t="n">
        <x:f>'Raw Labour'!A80</x:f>
        <x:v>20250628</x:v>
      </x:c>
      <x:c r="B80" s="5" t="str">
        <x:f>IF(TRIM(LOWER('Raw Labour'!C80))="delivery","DEL",IF(TRIM(LOWER('Raw Labour'!C80))="recycling","REC",IF(TRIM(LOWER('Raw Labour'!C80))="picking","PCK","UNMAPPED")))</x:f>
        <x:v>DEL</x:v>
      </x:c>
      <x:c r="C80" s="13" t="n">
        <x:f>'Raw Labour'!D80*'Raw Labour'!E80</x:f>
        <x:v>210</x:v>
      </x:c>
      <x:c r="D80" s="13" t="n">
        <x:f>'Raw Labour'!F80</x:f>
        <x:v>0</x:v>
      </x:c>
      <x:c r="E80" s="13" t="n">
        <x:f>'Raw Labour'!G80</x:f>
        <x:v>30</x:v>
      </x:c>
      <x:c r="F80" s="13" t="n">
        <x:f>'Raw Labour'!H80</x:f>
        <x:v>0</x:v>
      </x:c>
      <x:c r="G80" s="13" t="n">
        <x:f>'Raw Labour'!I80</x:f>
        <x:v>1.6</x:v>
      </x:c>
      <x:c r="H80" s="13" t="n">
        <x:f>C80-D80-G80+(E80-F80)*'Raw Labour'!K80</x:f>
        <x:v>227</x:v>
      </x:c>
      <x:c r="I80" s="13" t="n">
        <x:f>'Raw Labour'!J80</x:f>
        <x:v>622.3300970873786</x:v>
      </x:c>
      <x:c r="J80" s="13" t="n">
        <x:f>MAX(0,H80-I80)</x:f>
        <x:v>0</x:v>
      </x:c>
      <x:c r="K80" s="12" t="n">
        <x:f>MIN(1,I80/H80)</x:f>
        <x:v>1</x:v>
      </x:c>
    </x:row>
    <x:row r="81" ht="22" customHeight="1">
      <x:c r="A81" s="5" t="n">
        <x:f>'Raw Labour'!A81</x:f>
        <x:v>20250628</x:v>
      </x:c>
      <x:c r="B81" s="5" t="str">
        <x:f>IF(TRIM(LOWER('Raw Labour'!C81))="delivery","DEL",IF(TRIM(LOWER('Raw Labour'!C81))="recycling","REC",IF(TRIM(LOWER('Raw Labour'!C81))="picking","PCK","UNMAPPED")))</x:f>
        <x:v>REC</x:v>
      </x:c>
      <x:c r="C81" s="13" t="n">
        <x:f>'Raw Labour'!D81*'Raw Labour'!E81</x:f>
        <x:v>90</x:v>
      </x:c>
      <x:c r="D81" s="13" t="n">
        <x:f>'Raw Labour'!F81</x:f>
        <x:v>30</x:v>
      </x:c>
      <x:c r="E81" s="13" t="n">
        <x:f>'Raw Labour'!G81</x:f>
        <x:v>0</x:v>
      </x:c>
      <x:c r="F81" s="13" t="n">
        <x:f>'Raw Labour'!H81</x:f>
        <x:v>0</x:v>
      </x:c>
      <x:c r="G81" s="13" t="n">
        <x:f>'Raw Labour'!I81</x:f>
        <x:v>0</x:v>
      </x:c>
      <x:c r="H81" s="13" t="n">
        <x:f>C81-D81-G81+(E81-F81)*'Raw Labour'!K81</x:f>
        <x:v>60</x:v>
      </x:c>
      <x:c r="I81" s="13" t="n">
        <x:f>'Raw Labour'!J81</x:f>
        <x:v>43.75</x:v>
      </x:c>
      <x:c r="J81" s="13" t="n">
        <x:f>MAX(0,H81-I81)</x:f>
        <x:v>16.25</x:v>
      </x:c>
      <x:c r="K81" s="12" t="n">
        <x:f>MIN(1,I81/H81)</x:f>
        <x:v>0.7291666666666666</x:v>
      </x:c>
    </x:row>
    <x:row r="82" ht="22" customHeight="1">
      <x:c r="A82" s="5" t="n">
        <x:f>'Raw Labour'!A82</x:f>
        <x:v>20250628</x:v>
      </x:c>
      <x:c r="B82" s="5" t="str">
        <x:f>IF(TRIM(LOWER('Raw Labour'!C82))="delivery","DEL",IF(TRIM(LOWER('Raw Labour'!C82))="recycling","REC",IF(TRIM(LOWER('Raw Labour'!C82))="picking","PCK","UNMAPPED")))</x:f>
        <x:v>PCK</x:v>
      </x:c>
      <x:c r="C82" s="13" t="n">
        <x:f>'Raw Labour'!D82*'Raw Labour'!E82</x:f>
        <x:v>180</x:v>
      </x:c>
      <x:c r="D82" s="13" t="n">
        <x:f>'Raw Labour'!F82</x:f>
        <x:v>0</x:v>
      </x:c>
      <x:c r="E82" s="13" t="n">
        <x:f>'Raw Labour'!G82</x:f>
        <x:v>0</x:v>
      </x:c>
      <x:c r="F82" s="13" t="n">
        <x:f>'Raw Labour'!H82</x:f>
        <x:v>0</x:v>
      </x:c>
      <x:c r="G82" s="13" t="n">
        <x:f>'Raw Labour'!I82</x:f>
        <x:v>0</x:v>
      </x:c>
      <x:c r="H82" s="13" t="n">
        <x:f>C82-D82-G82+(E82-F82)*'Raw Labour'!K82</x:f>
        <x:v>180</x:v>
      </x:c>
      <x:c r="I82" s="13" t="n">
        <x:f>'Raw Labour'!J82</x:f>
        <x:v>160</x:v>
      </x:c>
      <x:c r="J82" s="13" t="n">
        <x:f>MAX(0,H82-I82)</x:f>
        <x:v>20</x:v>
      </x:c>
      <x:c r="K82" s="12" t="n">
        <x:f>MIN(1,I82/H82)</x:f>
        <x:v>0.8888888888888888</x:v>
      </x:c>
    </x:row>
    <x:row r="83" ht="22" customHeight="1">
      <x:c r="A83" s="5" t="n">
        <x:f>'Raw Labour'!A83</x:f>
        <x:v>20250629</x:v>
      </x:c>
      <x:c r="B83" s="5" t="str">
        <x:f>IF(TRIM(LOWER('Raw Labour'!C83))="delivery","DEL",IF(TRIM(LOWER('Raw Labour'!C83))="recycling","REC",IF(TRIM(LOWER('Raw Labour'!C83))="picking","PCK","UNMAPPED")))</x:f>
        <x:v>DEL</x:v>
      </x:c>
      <x:c r="C83" s="13" t="n">
        <x:f>'Raw Labour'!D83*'Raw Labour'!E83</x:f>
        <x:v>210</x:v>
      </x:c>
      <x:c r="D83" s="13" t="n">
        <x:f>'Raw Labour'!F83</x:f>
        <x:v>0</x:v>
      </x:c>
      <x:c r="E83" s="13" t="n">
        <x:f>'Raw Labour'!G83</x:f>
        <x:v>30</x:v>
      </x:c>
      <x:c r="F83" s="13" t="n">
        <x:f>'Raw Labour'!H83</x:f>
        <x:v>0</x:v>
      </x:c>
      <x:c r="G83" s="13" t="n">
        <x:f>'Raw Labour'!I83</x:f>
        <x:v>1.6</x:v>
      </x:c>
      <x:c r="H83" s="13" t="n">
        <x:f>C83-D83-G83+(E83-F83)*'Raw Labour'!K83</x:f>
        <x:v>227</x:v>
      </x:c>
      <x:c r="I83" s="13" t="n">
        <x:f>'Raw Labour'!J83</x:f>
        <x:v>617.9611650485436</x:v>
      </x:c>
      <x:c r="J83" s="13" t="n">
        <x:f>MAX(0,H83-I83)</x:f>
        <x:v>0</x:v>
      </x:c>
      <x:c r="K83" s="12" t="n">
        <x:f>MIN(1,I83/H83)</x:f>
        <x:v>1</x:v>
      </x:c>
    </x:row>
    <x:row r="84" ht="22" customHeight="1">
      <x:c r="A84" s="5" t="n">
        <x:f>'Raw Labour'!A84</x:f>
        <x:v>20250629</x:v>
      </x:c>
      <x:c r="B84" s="5" t="str">
        <x:f>IF(TRIM(LOWER('Raw Labour'!C84))="delivery","DEL",IF(TRIM(LOWER('Raw Labour'!C84))="recycling","REC",IF(TRIM(LOWER('Raw Labour'!C84))="picking","PCK","UNMAPPED")))</x:f>
        <x:v>REC</x:v>
      </x:c>
      <x:c r="C84" s="13" t="n">
        <x:f>'Raw Labour'!D84*'Raw Labour'!E84</x:f>
        <x:v>90</x:v>
      </x:c>
      <x:c r="D84" s="13" t="n">
        <x:f>'Raw Labour'!F84</x:f>
        <x:v>30</x:v>
      </x:c>
      <x:c r="E84" s="13" t="n">
        <x:f>'Raw Labour'!G84</x:f>
        <x:v>0</x:v>
      </x:c>
      <x:c r="F84" s="13" t="n">
        <x:f>'Raw Labour'!H84</x:f>
        <x:v>0</x:v>
      </x:c>
      <x:c r="G84" s="13" t="n">
        <x:f>'Raw Labour'!I84</x:f>
        <x:v>0</x:v>
      </x:c>
      <x:c r="H84" s="13" t="n">
        <x:f>C84-D84-G84+(E84-F84)*'Raw Labour'!K84</x:f>
        <x:v>60</x:v>
      </x:c>
      <x:c r="I84" s="13" t="n">
        <x:f>'Raw Labour'!J84</x:f>
        <x:v>46.45</x:v>
      </x:c>
      <x:c r="J84" s="13" t="n">
        <x:f>MAX(0,H84-I84)</x:f>
        <x:v>13.549999999999997</x:v>
      </x:c>
      <x:c r="K84" s="12" t="n">
        <x:f>MIN(1,I84/H84)</x:f>
        <x:v>0.7741666666666667</x:v>
      </x:c>
    </x:row>
    <x:row r="85" ht="22" customHeight="1">
      <x:c r="A85" s="5" t="n">
        <x:f>'Raw Labour'!A85</x:f>
        <x:v>20250629</x:v>
      </x:c>
      <x:c r="B85" s="5" t="str">
        <x:f>IF(TRIM(LOWER('Raw Labour'!C85))="delivery","DEL",IF(TRIM(LOWER('Raw Labour'!C85))="recycling","REC",IF(TRIM(LOWER('Raw Labour'!C85))="picking","PCK","UNMAPPED")))</x:f>
        <x:v>PCK</x:v>
      </x:c>
      <x:c r="C85" s="13" t="n">
        <x:f>'Raw Labour'!D85*'Raw Labour'!E85</x:f>
        <x:v>180</x:v>
      </x:c>
      <x:c r="D85" s="13" t="n">
        <x:f>'Raw Labour'!F85</x:f>
        <x:v>0</x:v>
      </x:c>
      <x:c r="E85" s="13" t="n">
        <x:f>'Raw Labour'!G85</x:f>
        <x:v>0</x:v>
      </x:c>
      <x:c r="F85" s="13" t="n">
        <x:f>'Raw Labour'!H85</x:f>
        <x:v>0</x:v>
      </x:c>
      <x:c r="G85" s="13" t="n">
        <x:f>'Raw Labour'!I85</x:f>
        <x:v>0</x:v>
      </x:c>
      <x:c r="H85" s="13" t="n">
        <x:f>C85-D85-G85+(E85-F85)*'Raw Labour'!K85</x:f>
        <x:v>180</x:v>
      </x:c>
      <x:c r="I85" s="13" t="n">
        <x:f>'Raw Labour'!J85</x:f>
        <x:v>163.6</x:v>
      </x:c>
      <x:c r="J85" s="13" t="n">
        <x:f>MAX(0,H85-I85)</x:f>
        <x:v>16.400000000000006</x:v>
      </x:c>
      <x:c r="K85" s="12" t="n">
        <x:f>MIN(1,I85/H85)</x:f>
        <x:v>0.9088888888888889</x:v>
      </x:c>
    </x:row>
    <x:row r="86" ht="22" customHeight="1">
      <x:c r="A86" s="5" t="n">
        <x:f>'Raw Labour'!A86</x:f>
        <x:v>20250630</x:v>
      </x:c>
      <x:c r="B86" s="5" t="str">
        <x:f>IF(TRIM(LOWER('Raw Labour'!C86))="delivery","DEL",IF(TRIM(LOWER('Raw Labour'!C86))="recycling","REC",IF(TRIM(LOWER('Raw Labour'!C86))="picking","PCK","UNMAPPED")))</x:f>
        <x:v>DEL</x:v>
      </x:c>
      <x:c r="C86" s="13" t="n">
        <x:f>'Raw Labour'!D86*'Raw Labour'!E86</x:f>
        <x:v>210</x:v>
      </x:c>
      <x:c r="D86" s="13" t="n">
        <x:f>'Raw Labour'!F86</x:f>
        <x:v>0</x:v>
      </x:c>
      <x:c r="E86" s="13" t="n">
        <x:f>'Raw Labour'!G86</x:f>
        <x:v>30</x:v>
      </x:c>
      <x:c r="F86" s="13" t="n">
        <x:f>'Raw Labour'!H86</x:f>
        <x:v>0</x:v>
      </x:c>
      <x:c r="G86" s="13" t="n">
        <x:f>'Raw Labour'!I86</x:f>
        <x:v>1.6</x:v>
      </x:c>
      <x:c r="H86" s="13" t="n">
        <x:f>C86-D86-G86+(E86-F86)*'Raw Labour'!K86</x:f>
        <x:v>227</x:v>
      </x:c>
      <x:c r="I86" s="13" t="n">
        <x:f>'Raw Labour'!J86</x:f>
        <x:v>606.3106796116505</x:v>
      </x:c>
      <x:c r="J86" s="13" t="n">
        <x:f>MAX(0,H86-I86)</x:f>
        <x:v>0</x:v>
      </x:c>
      <x:c r="K86" s="12" t="n">
        <x:f>MIN(1,I86/H86)</x:f>
        <x:v>1</x:v>
      </x:c>
    </x:row>
    <x:row r="87" ht="22" customHeight="1">
      <x:c r="A87" s="5" t="n">
        <x:f>'Raw Labour'!A87</x:f>
        <x:v>20250630</x:v>
      </x:c>
      <x:c r="B87" s="5" t="str">
        <x:f>IF(TRIM(LOWER('Raw Labour'!C87))="delivery","DEL",IF(TRIM(LOWER('Raw Labour'!C87))="recycling","REC",IF(TRIM(LOWER('Raw Labour'!C87))="picking","PCK","UNMAPPED")))</x:f>
        <x:v>REC</x:v>
      </x:c>
      <x:c r="C87" s="13" t="n">
        <x:f>'Raw Labour'!D87*'Raw Labour'!E87</x:f>
        <x:v>90</x:v>
      </x:c>
      <x:c r="D87" s="13" t="n">
        <x:f>'Raw Labour'!F87</x:f>
        <x:v>30</x:v>
      </x:c>
      <x:c r="E87" s="13" t="n">
        <x:f>'Raw Labour'!G87</x:f>
        <x:v>0</x:v>
      </x:c>
      <x:c r="F87" s="13" t="n">
        <x:f>'Raw Labour'!H87</x:f>
        <x:v>0</x:v>
      </x:c>
      <x:c r="G87" s="13" t="n">
        <x:f>'Raw Labour'!I87</x:f>
        <x:v>0</x:v>
      </x:c>
      <x:c r="H87" s="13" t="n">
        <x:f>C87-D87-G87+(E87-F87)*'Raw Labour'!K87</x:f>
        <x:v>60</x:v>
      </x:c>
      <x:c r="I87" s="13" t="n">
        <x:f>'Raw Labour'!J87</x:f>
        <x:v>44.2</x:v>
      </x:c>
      <x:c r="J87" s="13" t="n">
        <x:f>MAX(0,H87-I87)</x:f>
        <x:v>15.799999999999997</x:v>
      </x:c>
      <x:c r="K87" s="12" t="n">
        <x:f>MIN(1,I87/H87)</x:f>
        <x:v>0.7366666666666667</x:v>
      </x:c>
    </x:row>
    <x:row r="88" ht="22" customHeight="1">
      <x:c r="A88" s="5" t="n">
        <x:f>'Raw Labour'!A88</x:f>
        <x:v>20250630</x:v>
      </x:c>
      <x:c r="B88" s="5" t="str">
        <x:f>IF(TRIM(LOWER('Raw Labour'!C88))="delivery","DEL",IF(TRIM(LOWER('Raw Labour'!C88))="recycling","REC",IF(TRIM(LOWER('Raw Labour'!C88))="picking","PCK","UNMAPPED")))</x:f>
        <x:v>PCK</x:v>
      </x:c>
      <x:c r="C88" s="13" t="n">
        <x:f>'Raw Labour'!D88*'Raw Labour'!E88</x:f>
        <x:v>180</x:v>
      </x:c>
      <x:c r="D88" s="13" t="n">
        <x:f>'Raw Labour'!F88</x:f>
        <x:v>0</x:v>
      </x:c>
      <x:c r="E88" s="13" t="n">
        <x:f>'Raw Labour'!G88</x:f>
        <x:v>0</x:v>
      </x:c>
      <x:c r="F88" s="13" t="n">
        <x:f>'Raw Labour'!H88</x:f>
        <x:v>0</x:v>
      </x:c>
      <x:c r="G88" s="13" t="n">
        <x:f>'Raw Labour'!I88</x:f>
        <x:v>0</x:v>
      </x:c>
      <x:c r="H88" s="13" t="n">
        <x:f>C88-D88-G88+(E88-F88)*'Raw Labour'!K88</x:f>
        <x:v>180</x:v>
      </x:c>
      <x:c r="I88" s="13" t="n">
        <x:f>'Raw Labour'!J88</x:f>
        <x:v>160.6</x:v>
      </x:c>
      <x:c r="J88" s="13" t="n">
        <x:f>MAX(0,H88-I88)</x:f>
        <x:v>19.400000000000006</x:v>
      </x:c>
      <x:c r="K88" s="12" t="n">
        <x:f>MIN(1,I88/H88)</x:f>
        <x:v>0.8922222222222221</x:v>
      </x:c>
    </x:row>
    <x:row r="89" ht="22" customHeight="1">
      <x:c r="A89" s="5" t="n">
        <x:f>'Raw Labour'!A89</x:f>
        <x:v>20250701</x:v>
      </x:c>
      <x:c r="B89" s="5" t="str">
        <x:f>IF(TRIM(LOWER('Raw Labour'!C89))="delivery","DEL",IF(TRIM(LOWER('Raw Labour'!C89))="recycling","REC",IF(TRIM(LOWER('Raw Labour'!C89))="picking","PCK","UNMAPPED")))</x:f>
        <x:v>DEL</x:v>
      </x:c>
      <x:c r="C89" s="13" t="n">
        <x:f>'Raw Labour'!D89*'Raw Labour'!E89</x:f>
        <x:v>210</x:v>
      </x:c>
      <x:c r="D89" s="13" t="n">
        <x:f>'Raw Labour'!F89</x:f>
        <x:v>0</x:v>
      </x:c>
      <x:c r="E89" s="13" t="n">
        <x:f>'Raw Labour'!G89</x:f>
        <x:v>30</x:v>
      </x:c>
      <x:c r="F89" s="13" t="n">
        <x:f>'Raw Labour'!H89</x:f>
        <x:v>0</x:v>
      </x:c>
      <x:c r="G89" s="13" t="n">
        <x:f>'Raw Labour'!I89</x:f>
        <x:v>1.6</x:v>
      </x:c>
      <x:c r="H89" s="13" t="n">
        <x:f>C89-D89-G89+(E89-F89)*'Raw Labour'!K89</x:f>
        <x:v>227</x:v>
      </x:c>
      <x:c r="I89" s="13" t="n">
        <x:f>'Raw Labour'!J89</x:f>
        <x:v>604.3689320388349</x:v>
      </x:c>
      <x:c r="J89" s="13" t="n">
        <x:f>MAX(0,H89-I89)</x:f>
        <x:v>0</x:v>
      </x:c>
      <x:c r="K89" s="12" t="n">
        <x:f>MIN(1,I89/H89)</x:f>
        <x:v>1</x:v>
      </x:c>
    </x:row>
    <x:row r="90" ht="22" customHeight="1">
      <x:c r="A90" s="5" t="n">
        <x:f>'Raw Labour'!A90</x:f>
        <x:v>20250701</x:v>
      </x:c>
      <x:c r="B90" s="5" t="str">
        <x:f>IF(TRIM(LOWER('Raw Labour'!C90))="delivery","DEL",IF(TRIM(LOWER('Raw Labour'!C90))="recycling","REC",IF(TRIM(LOWER('Raw Labour'!C90))="picking","PCK","UNMAPPED")))</x:f>
        <x:v>REC</x:v>
      </x:c>
      <x:c r="C90" s="13" t="n">
        <x:f>'Raw Labour'!D90*'Raw Labour'!E90</x:f>
        <x:v>90</x:v>
      </x:c>
      <x:c r="D90" s="13" t="n">
        <x:f>'Raw Labour'!F90</x:f>
        <x:v>30</x:v>
      </x:c>
      <x:c r="E90" s="13" t="n">
        <x:f>'Raw Labour'!G90</x:f>
        <x:v>0</x:v>
      </x:c>
      <x:c r="F90" s="13" t="n">
        <x:f>'Raw Labour'!H90</x:f>
        <x:v>0</x:v>
      </x:c>
      <x:c r="G90" s="13" t="n">
        <x:f>'Raw Labour'!I90</x:f>
        <x:v>0</x:v>
      </x:c>
      <x:c r="H90" s="13" t="n">
        <x:f>C90-D90-G90+(E90-F90)*'Raw Labour'!K90</x:f>
        <x:v>60</x:v>
      </x:c>
      <x:c r="I90" s="13" t="n">
        <x:f>'Raw Labour'!J90</x:f>
        <x:v>47.2</x:v>
      </x:c>
      <x:c r="J90" s="13" t="n">
        <x:f>MAX(0,H90-I90)</x:f>
        <x:v>12.799999999999997</x:v>
      </x:c>
      <x:c r="K90" s="12" t="n">
        <x:f>MIN(1,I90/H90)</x:f>
        <x:v>0.7866666666666667</x:v>
      </x:c>
    </x:row>
    <x:row r="91" ht="22" customHeight="1">
      <x:c r="A91" s="5" t="n">
        <x:f>'Raw Labour'!A91</x:f>
        <x:v>20250701</x:v>
      </x:c>
      <x:c r="B91" s="5" t="str">
        <x:f>IF(TRIM(LOWER('Raw Labour'!C91))="delivery","DEL",IF(TRIM(LOWER('Raw Labour'!C91))="recycling","REC",IF(TRIM(LOWER('Raw Labour'!C91))="picking","PCK","UNMAPPED")))</x:f>
        <x:v>PCK</x:v>
      </x:c>
      <x:c r="C91" s="13" t="n">
        <x:f>'Raw Labour'!D91*'Raw Labour'!E91</x:f>
        <x:v>180</x:v>
      </x:c>
      <x:c r="D91" s="13" t="n">
        <x:f>'Raw Labour'!F91</x:f>
        <x:v>0</x:v>
      </x:c>
      <x:c r="E91" s="13" t="n">
        <x:f>'Raw Labour'!G91</x:f>
        <x:v>0</x:v>
      </x:c>
      <x:c r="F91" s="13" t="n">
        <x:f>'Raw Labour'!H91</x:f>
        <x:v>0</x:v>
      </x:c>
      <x:c r="G91" s="13" t="n">
        <x:f>'Raw Labour'!I91</x:f>
        <x:v>0</x:v>
      </x:c>
      <x:c r="H91" s="13" t="n">
        <x:f>C91-D91-G91+(E91-F91)*'Raw Labour'!K91</x:f>
        <x:v>180</x:v>
      </x:c>
      <x:c r="I91" s="13" t="n">
        <x:f>'Raw Labour'!J91</x:f>
        <x:v>164.6</x:v>
      </x:c>
      <x:c r="J91" s="13" t="n">
        <x:f>MAX(0,H91-I91)</x:f>
        <x:v>15.400000000000006</x:v>
      </x:c>
      <x:c r="K91" s="12" t="n">
        <x:f>MIN(1,I91/H91)</x:f>
        <x:v>0.9144444444444444</x:v>
      </x:c>
    </x:row>
    <x:row r="92" ht="22" customHeight="1">
      <x:c r="A92" s="5" t="n">
        <x:f>'Raw Labour'!A92</x:f>
        <x:v>20250702</x:v>
      </x:c>
      <x:c r="B92" s="5" t="str">
        <x:f>IF(TRIM(LOWER('Raw Labour'!C92))="delivery","DEL",IF(TRIM(LOWER('Raw Labour'!C92))="recycling","REC",IF(TRIM(LOWER('Raw Labour'!C92))="picking","PCK","UNMAPPED")))</x:f>
        <x:v>DEL</x:v>
      </x:c>
      <x:c r="C92" s="13" t="n">
        <x:f>'Raw Labour'!D92*'Raw Labour'!E92</x:f>
        <x:v>210</x:v>
      </x:c>
      <x:c r="D92" s="13" t="n">
        <x:f>'Raw Labour'!F92</x:f>
        <x:v>0</x:v>
      </x:c>
      <x:c r="E92" s="13" t="n">
        <x:f>'Raw Labour'!G92</x:f>
        <x:v>30</x:v>
      </x:c>
      <x:c r="F92" s="13" t="n">
        <x:f>'Raw Labour'!H92</x:f>
        <x:v>0</x:v>
      </x:c>
      <x:c r="G92" s="13" t="n">
        <x:f>'Raw Labour'!I92</x:f>
        <x:v>1.6</x:v>
      </x:c>
      <x:c r="H92" s="13" t="n">
        <x:f>C92-D92-G92+(E92-F92)*'Raw Labour'!K92</x:f>
        <x:v>227</x:v>
      </x:c>
      <x:c r="I92" s="13" t="n">
        <x:f>'Raw Labour'!J92</x:f>
        <x:v>607.2815533980582</x:v>
      </x:c>
      <x:c r="J92" s="13" t="n">
        <x:f>MAX(0,H92-I92)</x:f>
        <x:v>0</x:v>
      </x:c>
      <x:c r="K92" s="12" t="n">
        <x:f>MIN(1,I92/H92)</x:f>
        <x:v>1</x:v>
      </x:c>
    </x:row>
    <x:row r="93" ht="22" customHeight="1">
      <x:c r="A93" s="5" t="n">
        <x:f>'Raw Labour'!A93</x:f>
        <x:v>20250702</x:v>
      </x:c>
      <x:c r="B93" s="5" t="str">
        <x:f>IF(TRIM(LOWER('Raw Labour'!C93))="delivery","DEL",IF(TRIM(LOWER('Raw Labour'!C93))="recycling","REC",IF(TRIM(LOWER('Raw Labour'!C93))="picking","PCK","UNMAPPED")))</x:f>
        <x:v>REC</x:v>
      </x:c>
      <x:c r="C93" s="13" t="n">
        <x:f>'Raw Labour'!D93*'Raw Labour'!E93</x:f>
        <x:v>90</x:v>
      </x:c>
      <x:c r="D93" s="13" t="n">
        <x:f>'Raw Labour'!F93</x:f>
        <x:v>30</x:v>
      </x:c>
      <x:c r="E93" s="13" t="n">
        <x:f>'Raw Labour'!G93</x:f>
        <x:v>0</x:v>
      </x:c>
      <x:c r="F93" s="13" t="n">
        <x:f>'Raw Labour'!H93</x:f>
        <x:v>0</x:v>
      </x:c>
      <x:c r="G93" s="13" t="n">
        <x:f>'Raw Labour'!I93</x:f>
        <x:v>0</x:v>
      </x:c>
      <x:c r="H93" s="13" t="n">
        <x:f>C93-D93-G93+(E93-F93)*'Raw Labour'!K93</x:f>
        <x:v>60</x:v>
      </x:c>
      <x:c r="I93" s="13" t="n">
        <x:f>'Raw Labour'!J93</x:f>
        <x:v>48.7</x:v>
      </x:c>
      <x:c r="J93" s="13" t="n">
        <x:f>MAX(0,H93-I93)</x:f>
        <x:v>11.299999999999997</x:v>
      </x:c>
      <x:c r="K93" s="12" t="n">
        <x:f>MIN(1,I93/H93)</x:f>
        <x:v>0.8116666666666668</x:v>
      </x:c>
    </x:row>
    <x:row r="94" ht="22" customHeight="1">
      <x:c r="A94" s="5" t="n">
        <x:f>'Raw Labour'!A94</x:f>
        <x:v>20250702</x:v>
      </x:c>
      <x:c r="B94" s="5" t="str">
        <x:f>IF(TRIM(LOWER('Raw Labour'!C94))="delivery","DEL",IF(TRIM(LOWER('Raw Labour'!C94))="recycling","REC",IF(TRIM(LOWER('Raw Labour'!C94))="picking","PCK","UNMAPPED")))</x:f>
        <x:v>PCK</x:v>
      </x:c>
      <x:c r="C94" s="13" t="n">
        <x:f>'Raw Labour'!D94*'Raw Labour'!E94</x:f>
        <x:v>180</x:v>
      </x:c>
      <x:c r="D94" s="13" t="n">
        <x:f>'Raw Labour'!F94</x:f>
        <x:v>0</x:v>
      </x:c>
      <x:c r="E94" s="13" t="n">
        <x:f>'Raw Labour'!G94</x:f>
        <x:v>0</x:v>
      </x:c>
      <x:c r="F94" s="13" t="n">
        <x:f>'Raw Labour'!H94</x:f>
        <x:v>0</x:v>
      </x:c>
      <x:c r="G94" s="13" t="n">
        <x:f>'Raw Labour'!I94</x:f>
        <x:v>0</x:v>
      </x:c>
      <x:c r="H94" s="13" t="n">
        <x:f>C94-D94-G94+(E94-F94)*'Raw Labour'!K94</x:f>
        <x:v>180</x:v>
      </x:c>
      <x:c r="I94" s="13" t="n">
        <x:f>'Raw Labour'!J94</x:f>
        <x:v>166.6</x:v>
      </x:c>
      <x:c r="J94" s="13" t="n">
        <x:f>MAX(0,H94-I94)</x:f>
        <x:v>13.400000000000006</x:v>
      </x:c>
      <x:c r="K94" s="12" t="n">
        <x:f>MIN(1,I94/H94)</x:f>
        <x:v>0.9255555555555556</x:v>
      </x:c>
    </x:row>
    <x:row r="95" ht="22" customHeight="1">
      <x:c r="A95" s="5" t="n">
        <x:f>'Raw Labour'!A95</x:f>
        <x:v>20250703</x:v>
      </x:c>
      <x:c r="B95" s="5" t="str">
        <x:f>IF(TRIM(LOWER('Raw Labour'!C95))="delivery","DEL",IF(TRIM(LOWER('Raw Labour'!C95))="recycling","REC",IF(TRIM(LOWER('Raw Labour'!C95))="picking","PCK","UNMAPPED")))</x:f>
        <x:v>DEL</x:v>
      </x:c>
      <x:c r="C95" s="13" t="n">
        <x:f>'Raw Labour'!D95*'Raw Labour'!E95</x:f>
        <x:v>210</x:v>
      </x:c>
      <x:c r="D95" s="13" t="n">
        <x:f>'Raw Labour'!F95</x:f>
        <x:v>0</x:v>
      </x:c>
      <x:c r="E95" s="13" t="n">
        <x:f>'Raw Labour'!G95</x:f>
        <x:v>30</x:v>
      </x:c>
      <x:c r="F95" s="13" t="n">
        <x:f>'Raw Labour'!H95</x:f>
        <x:v>0</x:v>
      </x:c>
      <x:c r="G95" s="13" t="n">
        <x:f>'Raw Labour'!I95</x:f>
        <x:v>1.6</x:v>
      </x:c>
      <x:c r="H95" s="13" t="n">
        <x:f>C95-D95-G95+(E95-F95)*'Raw Labour'!K95</x:f>
        <x:v>227</x:v>
      </x:c>
      <x:c r="I95" s="13" t="n">
        <x:f>'Raw Labour'!J95</x:f>
        <x:v>598.0582524271845</x:v>
      </x:c>
      <x:c r="J95" s="13" t="n">
        <x:f>MAX(0,H95-I95)</x:f>
        <x:v>0</x:v>
      </x:c>
      <x:c r="K95" s="12" t="n">
        <x:f>MIN(1,I95/H95)</x:f>
        <x:v>1</x:v>
      </x:c>
    </x:row>
    <x:row r="96" ht="22" customHeight="1">
      <x:c r="A96" s="5" t="n">
        <x:f>'Raw Labour'!A96</x:f>
        <x:v>20250703</x:v>
      </x:c>
      <x:c r="B96" s="5" t="str">
        <x:f>IF(TRIM(LOWER('Raw Labour'!C96))="delivery","DEL",IF(TRIM(LOWER('Raw Labour'!C96))="recycling","REC",IF(TRIM(LOWER('Raw Labour'!C96))="picking","PCK","UNMAPPED")))</x:f>
        <x:v>REC</x:v>
      </x:c>
      <x:c r="C96" s="13" t="n">
        <x:f>'Raw Labour'!D96*'Raw Labour'!E96</x:f>
        <x:v>90</x:v>
      </x:c>
      <x:c r="D96" s="13" t="n">
        <x:f>'Raw Labour'!F96</x:f>
        <x:v>30</x:v>
      </x:c>
      <x:c r="E96" s="13" t="n">
        <x:f>'Raw Labour'!G96</x:f>
        <x:v>0</x:v>
      </x:c>
      <x:c r="F96" s="13" t="n">
        <x:f>'Raw Labour'!H96</x:f>
        <x:v>0</x:v>
      </x:c>
      <x:c r="G96" s="13" t="n">
        <x:f>'Raw Labour'!I96</x:f>
        <x:v>0</x:v>
      </x:c>
      <x:c r="H96" s="13" t="n">
        <x:f>C96-D96-G96+(E96-F96)*'Raw Labour'!K96</x:f>
        <x:v>60</x:v>
      </x:c>
      <x:c r="I96" s="13" t="n">
        <x:f>'Raw Labour'!J96</x:f>
        <x:v>44.95</x:v>
      </x:c>
      <x:c r="J96" s="13" t="n">
        <x:f>MAX(0,H96-I96)</x:f>
        <x:v>15.049999999999997</x:v>
      </x:c>
      <x:c r="K96" s="12" t="n">
        <x:f>MIN(1,I96/H96)</x:f>
        <x:v>0.7491666666666668</x:v>
      </x:c>
    </x:row>
    <x:row r="97" ht="22" customHeight="1">
      <x:c r="A97" s="5" t="n">
        <x:f>'Raw Labour'!A97</x:f>
        <x:v>20250703</x:v>
      </x:c>
      <x:c r="B97" s="5" t="str">
        <x:f>IF(TRIM(LOWER('Raw Labour'!C97))="delivery","DEL",IF(TRIM(LOWER('Raw Labour'!C97))="recycling","REC",IF(TRIM(LOWER('Raw Labour'!C97))="picking","PCK","UNMAPPED")))</x:f>
        <x:v>PCK</x:v>
      </x:c>
      <x:c r="C97" s="13" t="n">
        <x:f>'Raw Labour'!D97*'Raw Labour'!E97</x:f>
        <x:v>180</x:v>
      </x:c>
      <x:c r="D97" s="13" t="n">
        <x:f>'Raw Labour'!F97</x:f>
        <x:v>0</x:v>
      </x:c>
      <x:c r="E97" s="13" t="n">
        <x:f>'Raw Labour'!G97</x:f>
        <x:v>0</x:v>
      </x:c>
      <x:c r="F97" s="13" t="n">
        <x:f>'Raw Labour'!H97</x:f>
        <x:v>0</x:v>
      </x:c>
      <x:c r="G97" s="13" t="n">
        <x:f>'Raw Labour'!I97</x:f>
        <x:v>0</x:v>
      </x:c>
      <x:c r="H97" s="13" t="n">
        <x:f>C97-D97-G97+(E97-F97)*'Raw Labour'!K97</x:f>
        <x:v>180</x:v>
      </x:c>
      <x:c r="I97" s="13" t="n">
        <x:f>'Raw Labour'!J97</x:f>
        <x:v>161.6</x:v>
      </x:c>
      <x:c r="J97" s="13" t="n">
        <x:f>MAX(0,H97-I97)</x:f>
        <x:v>18.400000000000006</x:v>
      </x:c>
      <x:c r="K97" s="12" t="n">
        <x:f>MIN(1,I97/H97)</x:f>
        <x:v>0.8977777777777778</x:v>
      </x:c>
    </x:row>
    <x:row r="98" ht="22" customHeight="1">
      <x:c r="A98" s="5" t="n">
        <x:f>'Raw Labour'!A98</x:f>
        <x:v>20250704</x:v>
      </x:c>
      <x:c r="B98" s="5" t="str">
        <x:f>IF(TRIM(LOWER('Raw Labour'!C98))="delivery","DEL",IF(TRIM(LOWER('Raw Labour'!C98))="recycling","REC",IF(TRIM(LOWER('Raw Labour'!C98))="picking","PCK","UNMAPPED")))</x:f>
        <x:v>DEL</x:v>
      </x:c>
      <x:c r="C98" s="13" t="n">
        <x:f>'Raw Labour'!D98*'Raw Labour'!E98</x:f>
        <x:v>210</x:v>
      </x:c>
      <x:c r="D98" s="13" t="n">
        <x:f>'Raw Labour'!F98</x:f>
        <x:v>0</x:v>
      </x:c>
      <x:c r="E98" s="13" t="n">
        <x:f>'Raw Labour'!G98</x:f>
        <x:v>30</x:v>
      </x:c>
      <x:c r="F98" s="13" t="n">
        <x:f>'Raw Labour'!H98</x:f>
        <x:v>0</x:v>
      </x:c>
      <x:c r="G98" s="13" t="n">
        <x:f>'Raw Labour'!I98</x:f>
        <x:v>1.6</x:v>
      </x:c>
      <x:c r="H98" s="13" t="n">
        <x:f>C98-D98-G98+(E98-F98)*'Raw Labour'!K98</x:f>
        <x:v>227</x:v>
      </x:c>
      <x:c r="I98" s="13" t="n">
        <x:f>'Raw Labour'!J98</x:f>
        <x:v>594.6601941747573</x:v>
      </x:c>
      <x:c r="J98" s="13" t="n">
        <x:f>MAX(0,H98-I98)</x:f>
        <x:v>0</x:v>
      </x:c>
      <x:c r="K98" s="12" t="n">
        <x:f>MIN(1,I98/H98)</x:f>
        <x:v>1</x:v>
      </x:c>
    </x:row>
    <x:row r="99" ht="22" customHeight="1">
      <x:c r="A99" s="5" t="n">
        <x:f>'Raw Labour'!A99</x:f>
        <x:v>20250704</x:v>
      </x:c>
      <x:c r="B99" s="5" t="str">
        <x:f>IF(TRIM(LOWER('Raw Labour'!C99))="delivery","DEL",IF(TRIM(LOWER('Raw Labour'!C99))="recycling","REC",IF(TRIM(LOWER('Raw Labour'!C99))="picking","PCK","UNMAPPED")))</x:f>
        <x:v>REC</x:v>
      </x:c>
      <x:c r="C99" s="13" t="n">
        <x:f>'Raw Labour'!D99*'Raw Labour'!E99</x:f>
        <x:v>90</x:v>
      </x:c>
      <x:c r="D99" s="13" t="n">
        <x:f>'Raw Labour'!F99</x:f>
        <x:v>30</x:v>
      </x:c>
      <x:c r="E99" s="13" t="n">
        <x:f>'Raw Labour'!G99</x:f>
        <x:v>0</x:v>
      </x:c>
      <x:c r="F99" s="13" t="n">
        <x:f>'Raw Labour'!H99</x:f>
        <x:v>0</x:v>
      </x:c>
      <x:c r="G99" s="13" t="n">
        <x:f>'Raw Labour'!I99</x:f>
        <x:v>0</x:v>
      </x:c>
      <x:c r="H99" s="13" t="n">
        <x:f>C99-D99-G99+(E99-F99)*'Raw Labour'!K99</x:f>
        <x:v>60</x:v>
      </x:c>
      <x:c r="I99" s="13" t="n">
        <x:f>'Raw Labour'!J99</x:f>
        <x:v>46.75</x:v>
      </x:c>
      <x:c r="J99" s="13" t="n">
        <x:f>MAX(0,H99-I99)</x:f>
        <x:v>13.25</x:v>
      </x:c>
      <x:c r="K99" s="12" t="n">
        <x:f>MIN(1,I99/H99)</x:f>
        <x:v>0.7791666666666667</x:v>
      </x:c>
    </x:row>
    <x:row r="100" ht="22" customHeight="1">
      <x:c r="A100" s="5" t="n">
        <x:f>'Raw Labour'!A100</x:f>
        <x:v>20250704</x:v>
      </x:c>
      <x:c r="B100" s="5" t="str">
        <x:f>IF(TRIM(LOWER('Raw Labour'!C100))="delivery","DEL",IF(TRIM(LOWER('Raw Labour'!C100))="recycling","REC",IF(TRIM(LOWER('Raw Labour'!C100))="picking","PCK","UNMAPPED")))</x:f>
        <x:v>PCK</x:v>
      </x:c>
      <x:c r="C100" s="13" t="n">
        <x:f>'Raw Labour'!D100*'Raw Labour'!E100</x:f>
        <x:v>180</x:v>
      </x:c>
      <x:c r="D100" s="13" t="n">
        <x:f>'Raw Labour'!F100</x:f>
        <x:v>0</x:v>
      </x:c>
      <x:c r="E100" s="13" t="n">
        <x:f>'Raw Labour'!G100</x:f>
        <x:v>0</x:v>
      </x:c>
      <x:c r="F100" s="13" t="n">
        <x:f>'Raw Labour'!H100</x:f>
        <x:v>0</x:v>
      </x:c>
      <x:c r="G100" s="13" t="n">
        <x:f>'Raw Labour'!I100</x:f>
        <x:v>0</x:v>
      </x:c>
      <x:c r="H100" s="13" t="n">
        <x:f>C100-D100-G100+(E100-F100)*'Raw Labour'!K100</x:f>
        <x:v>180</x:v>
      </x:c>
      <x:c r="I100" s="13" t="n">
        <x:f>'Raw Labour'!J100</x:f>
        <x:v>164</x:v>
      </x:c>
      <x:c r="J100" s="13" t="n">
        <x:f>MAX(0,H100-I100)</x:f>
        <x:v>16</x:v>
      </x:c>
      <x:c r="K100" s="12" t="n">
        <x:f>MIN(1,I100/H100)</x:f>
        <x:v>0.9111111111111111</x:v>
      </x:c>
    </x:row>
    <x:row r="101" ht="22" customHeight="1">
      <x:c r="A101" s="5" t="n">
        <x:f>'Raw Labour'!A101</x:f>
        <x:v>20250705</x:v>
      </x:c>
      <x:c r="B101" s="5" t="str">
        <x:f>IF(TRIM(LOWER('Raw Labour'!C101))="delivery","DEL",IF(TRIM(LOWER('Raw Labour'!C101))="recycling","REC",IF(TRIM(LOWER('Raw Labour'!C101))="picking","PCK","UNMAPPED")))</x:f>
        <x:v>DEL</x:v>
      </x:c>
      <x:c r="C101" s="13" t="n">
        <x:f>'Raw Labour'!D101*'Raw Labour'!E101</x:f>
        <x:v>210</x:v>
      </x:c>
      <x:c r="D101" s="13" t="n">
        <x:f>'Raw Labour'!F101</x:f>
        <x:v>0</x:v>
      </x:c>
      <x:c r="E101" s="13" t="n">
        <x:f>'Raw Labour'!G101</x:f>
        <x:v>30</x:v>
      </x:c>
      <x:c r="F101" s="13" t="n">
        <x:f>'Raw Labour'!H101</x:f>
        <x:v>0</x:v>
      </x:c>
      <x:c r="G101" s="13" t="n">
        <x:f>'Raw Labour'!I101</x:f>
        <x:v>1.6</x:v>
      </x:c>
      <x:c r="H101" s="13" t="n">
        <x:f>C101-D101-G101+(E101-F101)*'Raw Labour'!K101</x:f>
        <x:v>227</x:v>
      </x:c>
      <x:c r="I101" s="13" t="n">
        <x:f>'Raw Labour'!J101</x:f>
        <x:v>581.5533980582524</x:v>
      </x:c>
      <x:c r="J101" s="13" t="n">
        <x:f>MAX(0,H101-I101)</x:f>
        <x:v>0</x:v>
      </x:c>
      <x:c r="K101" s="12" t="n">
        <x:f>MIN(1,I101/H101)</x:f>
        <x:v>1</x:v>
      </x:c>
    </x:row>
    <x:row r="102" ht="22" customHeight="1">
      <x:c r="A102" s="5" t="n">
        <x:f>'Raw Labour'!A102</x:f>
        <x:v>20250705</x:v>
      </x:c>
      <x:c r="B102" s="5" t="str">
        <x:f>IF(TRIM(LOWER('Raw Labour'!C102))="delivery","DEL",IF(TRIM(LOWER('Raw Labour'!C102))="recycling","REC",IF(TRIM(LOWER('Raw Labour'!C102))="picking","PCK","UNMAPPED")))</x:f>
        <x:v>REC</x:v>
      </x:c>
      <x:c r="C102" s="13" t="n">
        <x:f>'Raw Labour'!D102*'Raw Labour'!E102</x:f>
        <x:v>90</x:v>
      </x:c>
      <x:c r="D102" s="13" t="n">
        <x:f>'Raw Labour'!F102</x:f>
        <x:v>30</x:v>
      </x:c>
      <x:c r="E102" s="13" t="n">
        <x:f>'Raw Labour'!G102</x:f>
        <x:v>0</x:v>
      </x:c>
      <x:c r="F102" s="13" t="n">
        <x:f>'Raw Labour'!H102</x:f>
        <x:v>0</x:v>
      </x:c>
      <x:c r="G102" s="13" t="n">
        <x:f>'Raw Labour'!I102</x:f>
        <x:v>0</x:v>
      </x:c>
      <x:c r="H102" s="13" t="n">
        <x:f>C102-D102-G102+(E102-F102)*'Raw Labour'!K102</x:f>
        <x:v>60</x:v>
      </x:c>
      <x:c r="I102" s="13" t="n">
        <x:f>'Raw Labour'!J102</x:f>
        <x:v>43.75</x:v>
      </x:c>
      <x:c r="J102" s="13" t="n">
        <x:f>MAX(0,H102-I102)</x:f>
        <x:v>16.25</x:v>
      </x:c>
      <x:c r="K102" s="12" t="n">
        <x:f>MIN(1,I102/H102)</x:f>
        <x:v>0.7291666666666666</x:v>
      </x:c>
    </x:row>
    <x:row r="103" ht="22" customHeight="1">
      <x:c r="A103" s="5" t="n">
        <x:f>'Raw Labour'!A103</x:f>
        <x:v>20250705</x:v>
      </x:c>
      <x:c r="B103" s="5" t="str">
        <x:f>IF(TRIM(LOWER('Raw Labour'!C103))="delivery","DEL",IF(TRIM(LOWER('Raw Labour'!C103))="recycling","REC",IF(TRIM(LOWER('Raw Labour'!C103))="picking","PCK","UNMAPPED")))</x:f>
        <x:v>PCK</x:v>
      </x:c>
      <x:c r="C103" s="13" t="n">
        <x:f>'Raw Labour'!D103*'Raw Labour'!E103</x:f>
        <x:v>180</x:v>
      </x:c>
      <x:c r="D103" s="13" t="n">
        <x:f>'Raw Labour'!F103</x:f>
        <x:v>0</x:v>
      </x:c>
      <x:c r="E103" s="13" t="n">
        <x:f>'Raw Labour'!G103</x:f>
        <x:v>0</x:v>
      </x:c>
      <x:c r="F103" s="13" t="n">
        <x:f>'Raw Labour'!H103</x:f>
        <x:v>0</x:v>
      </x:c>
      <x:c r="G103" s="13" t="n">
        <x:f>'Raw Labour'!I103</x:f>
        <x:v>0</x:v>
      </x:c>
      <x:c r="H103" s="13" t="n">
        <x:f>C103-D103-G103+(E103-F103)*'Raw Labour'!K103</x:f>
        <x:v>180</x:v>
      </x:c>
      <x:c r="I103" s="13" t="n">
        <x:f>'Raw Labour'!J103</x:f>
        <x:v>160</x:v>
      </x:c>
      <x:c r="J103" s="13" t="n">
        <x:f>MAX(0,H103-I103)</x:f>
        <x:v>20</x:v>
      </x:c>
      <x:c r="K103" s="12" t="n">
        <x:f>MIN(1,I103/H103)</x:f>
        <x:v>0.8888888888888888</x:v>
      </x:c>
    </x:row>
    <x:row r="104" ht="22" customHeight="1">
      <x:c r="A104" s="5" t="n">
        <x:f>'Raw Labour'!A104</x:f>
        <x:v>20250706</x:v>
      </x:c>
      <x:c r="B104" s="5" t="str">
        <x:f>IF(TRIM(LOWER('Raw Labour'!C104))="delivery","DEL",IF(TRIM(LOWER('Raw Labour'!C104))="recycling","REC",IF(TRIM(LOWER('Raw Labour'!C104))="picking","PCK","UNMAPPED")))</x:f>
        <x:v>DEL</x:v>
      </x:c>
      <x:c r="C104" s="13" t="n">
        <x:f>'Raw Labour'!D104*'Raw Labour'!E104</x:f>
        <x:v>210</x:v>
      </x:c>
      <x:c r="D104" s="13" t="n">
        <x:f>'Raw Labour'!F104</x:f>
        <x:v>0</x:v>
      </x:c>
      <x:c r="E104" s="13" t="n">
        <x:f>'Raw Labour'!G104</x:f>
        <x:v>30</x:v>
      </x:c>
      <x:c r="F104" s="13" t="n">
        <x:f>'Raw Labour'!H104</x:f>
        <x:v>0</x:v>
      </x:c>
      <x:c r="G104" s="13" t="n">
        <x:f>'Raw Labour'!I104</x:f>
        <x:v>1.6</x:v>
      </x:c>
      <x:c r="H104" s="13" t="n">
        <x:f>C104-D104-G104+(E104-F104)*'Raw Labour'!K104</x:f>
        <x:v>227</x:v>
      </x:c>
      <x:c r="I104" s="13" t="n">
        <x:f>'Raw Labour'!J104</x:f>
        <x:v>577.1844660194174</x:v>
      </x:c>
      <x:c r="J104" s="13" t="n">
        <x:f>MAX(0,H104-I104)</x:f>
        <x:v>0</x:v>
      </x:c>
      <x:c r="K104" s="12" t="n">
        <x:f>MIN(1,I104/H104)</x:f>
        <x:v>1</x:v>
      </x:c>
    </x:row>
    <x:row r="105" ht="22" customHeight="1">
      <x:c r="A105" s="5" t="n">
        <x:f>'Raw Labour'!A105</x:f>
        <x:v>20250706</x:v>
      </x:c>
      <x:c r="B105" s="5" t="str">
        <x:f>IF(TRIM(LOWER('Raw Labour'!C105))="delivery","DEL",IF(TRIM(LOWER('Raw Labour'!C105))="recycling","REC",IF(TRIM(LOWER('Raw Labour'!C105))="picking","PCK","UNMAPPED")))</x:f>
        <x:v>REC</x:v>
      </x:c>
      <x:c r="C105" s="13" t="n">
        <x:f>'Raw Labour'!D105*'Raw Labour'!E105</x:f>
        <x:v>90</x:v>
      </x:c>
      <x:c r="D105" s="13" t="n">
        <x:f>'Raw Labour'!F105</x:f>
        <x:v>30</x:v>
      </x:c>
      <x:c r="E105" s="13" t="n">
        <x:f>'Raw Labour'!G105</x:f>
        <x:v>0</x:v>
      </x:c>
      <x:c r="F105" s="13" t="n">
        <x:f>'Raw Labour'!H105</x:f>
        <x:v>0</x:v>
      </x:c>
      <x:c r="G105" s="13" t="n">
        <x:f>'Raw Labour'!I105</x:f>
        <x:v>0</x:v>
      </x:c>
      <x:c r="H105" s="13" t="n">
        <x:f>C105-D105-G105+(E105-F105)*'Raw Labour'!K105</x:f>
        <x:v>60</x:v>
      </x:c>
      <x:c r="I105" s="13" t="n">
        <x:f>'Raw Labour'!J105</x:f>
        <x:v>46.45</x:v>
      </x:c>
      <x:c r="J105" s="13" t="n">
        <x:f>MAX(0,H105-I105)</x:f>
        <x:v>13.549999999999997</x:v>
      </x:c>
      <x:c r="K105" s="12" t="n">
        <x:f>MIN(1,I105/H105)</x:f>
        <x:v>0.7741666666666667</x:v>
      </x:c>
    </x:row>
    <x:row r="106" ht="22" customHeight="1">
      <x:c r="A106" s="5" t="n">
        <x:f>'Raw Labour'!A106</x:f>
        <x:v>20250706</x:v>
      </x:c>
      <x:c r="B106" s="5" t="str">
        <x:f>IF(TRIM(LOWER('Raw Labour'!C106))="delivery","DEL",IF(TRIM(LOWER('Raw Labour'!C106))="recycling","REC",IF(TRIM(LOWER('Raw Labour'!C106))="picking","PCK","UNMAPPED")))</x:f>
        <x:v>PCK</x:v>
      </x:c>
      <x:c r="C106" s="13" t="n">
        <x:f>'Raw Labour'!D106*'Raw Labour'!E106</x:f>
        <x:v>180</x:v>
      </x:c>
      <x:c r="D106" s="13" t="n">
        <x:f>'Raw Labour'!F106</x:f>
        <x:v>0</x:v>
      </x:c>
      <x:c r="E106" s="13" t="n">
        <x:f>'Raw Labour'!G106</x:f>
        <x:v>0</x:v>
      </x:c>
      <x:c r="F106" s="13" t="n">
        <x:f>'Raw Labour'!H106</x:f>
        <x:v>0</x:v>
      </x:c>
      <x:c r="G106" s="13" t="n">
        <x:f>'Raw Labour'!I106</x:f>
        <x:v>0</x:v>
      </x:c>
      <x:c r="H106" s="13" t="n">
        <x:f>C106-D106-G106+(E106-F106)*'Raw Labour'!K106</x:f>
        <x:v>180</x:v>
      </x:c>
      <x:c r="I106" s="13" t="n">
        <x:f>'Raw Labour'!J106</x:f>
        <x:v>163.6</x:v>
      </x:c>
      <x:c r="J106" s="13" t="n">
        <x:f>MAX(0,H106-I106)</x:f>
        <x:v>16.400000000000006</x:v>
      </x:c>
      <x:c r="K106" s="12" t="n">
        <x:f>MIN(1,I106/H106)</x:f>
        <x:v>0.9088888888888889</x:v>
      </x:c>
    </x:row>
    <x:row r="107" ht="22" customHeight="1">
      <x:c r="A107" s="5" t="n">
        <x:f>'Raw Labour'!A107</x:f>
        <x:v>20250707</x:v>
      </x:c>
      <x:c r="B107" s="5" t="str">
        <x:f>IF(TRIM(LOWER('Raw Labour'!C107))="delivery","DEL",IF(TRIM(LOWER('Raw Labour'!C107))="recycling","REC",IF(TRIM(LOWER('Raw Labour'!C107))="picking","PCK","UNMAPPED")))</x:f>
        <x:v>DEL</x:v>
      </x:c>
      <x:c r="C107" s="13" t="n">
        <x:f>'Raw Labour'!D107*'Raw Labour'!E107</x:f>
        <x:v>210</x:v>
      </x:c>
      <x:c r="D107" s="13" t="n">
        <x:f>'Raw Labour'!F107</x:f>
        <x:v>0</x:v>
      </x:c>
      <x:c r="E107" s="13" t="n">
        <x:f>'Raw Labour'!G107</x:f>
        <x:v>30</x:v>
      </x:c>
      <x:c r="F107" s="13" t="n">
        <x:f>'Raw Labour'!H107</x:f>
        <x:v>0</x:v>
      </x:c>
      <x:c r="G107" s="13" t="n">
        <x:f>'Raw Labour'!I107</x:f>
        <x:v>1.6</x:v>
      </x:c>
      <x:c r="H107" s="13" t="n">
        <x:f>C107-D107-G107+(E107-F107)*'Raw Labour'!K107</x:f>
        <x:v>227</x:v>
      </x:c>
      <x:c r="I107" s="13" t="n">
        <x:f>'Raw Labour'!J107</x:f>
        <x:v>565.5339805825242</x:v>
      </x:c>
      <x:c r="J107" s="13" t="n">
        <x:f>MAX(0,H107-I107)</x:f>
        <x:v>0</x:v>
      </x:c>
      <x:c r="K107" s="12" t="n">
        <x:f>MIN(1,I107/H107)</x:f>
        <x:v>1</x:v>
      </x:c>
    </x:row>
    <x:row r="108" ht="22" customHeight="1">
      <x:c r="A108" s="5" t="n">
        <x:f>'Raw Labour'!A108</x:f>
        <x:v>20250707</x:v>
      </x:c>
      <x:c r="B108" s="5" t="str">
        <x:f>IF(TRIM(LOWER('Raw Labour'!C108))="delivery","DEL",IF(TRIM(LOWER('Raw Labour'!C108))="recycling","REC",IF(TRIM(LOWER('Raw Labour'!C108))="picking","PCK","UNMAPPED")))</x:f>
        <x:v>REC</x:v>
      </x:c>
      <x:c r="C108" s="13" t="n">
        <x:f>'Raw Labour'!D108*'Raw Labour'!E108</x:f>
        <x:v>90</x:v>
      </x:c>
      <x:c r="D108" s="13" t="n">
        <x:f>'Raw Labour'!F108</x:f>
        <x:v>30</x:v>
      </x:c>
      <x:c r="E108" s="13" t="n">
        <x:f>'Raw Labour'!G108</x:f>
        <x:v>0</x:v>
      </x:c>
      <x:c r="F108" s="13" t="n">
        <x:f>'Raw Labour'!H108</x:f>
        <x:v>0</x:v>
      </x:c>
      <x:c r="G108" s="13" t="n">
        <x:f>'Raw Labour'!I108</x:f>
        <x:v>0</x:v>
      </x:c>
      <x:c r="H108" s="13" t="n">
        <x:f>C108-D108-G108+(E108-F108)*'Raw Labour'!K108</x:f>
        <x:v>60</x:v>
      </x:c>
      <x:c r="I108" s="13" t="n">
        <x:f>'Raw Labour'!J108</x:f>
        <x:v>44.2</x:v>
      </x:c>
      <x:c r="J108" s="13" t="n">
        <x:f>MAX(0,H108-I108)</x:f>
        <x:v>15.799999999999997</x:v>
      </x:c>
      <x:c r="K108" s="12" t="n">
        <x:f>MIN(1,I108/H108)</x:f>
        <x:v>0.7366666666666667</x:v>
      </x:c>
    </x:row>
    <x:row r="109" ht="22" customHeight="1">
      <x:c r="A109" s="5" t="n">
        <x:f>'Raw Labour'!A109</x:f>
        <x:v>20250707</x:v>
      </x:c>
      <x:c r="B109" s="5" t="str">
        <x:f>IF(TRIM(LOWER('Raw Labour'!C109))="delivery","DEL",IF(TRIM(LOWER('Raw Labour'!C109))="recycling","REC",IF(TRIM(LOWER('Raw Labour'!C109))="picking","PCK","UNMAPPED")))</x:f>
        <x:v>PCK</x:v>
      </x:c>
      <x:c r="C109" s="13" t="n">
        <x:f>'Raw Labour'!D109*'Raw Labour'!E109</x:f>
        <x:v>180</x:v>
      </x:c>
      <x:c r="D109" s="13" t="n">
        <x:f>'Raw Labour'!F109</x:f>
        <x:v>0</x:v>
      </x:c>
      <x:c r="E109" s="13" t="n">
        <x:f>'Raw Labour'!G109</x:f>
        <x:v>0</x:v>
      </x:c>
      <x:c r="F109" s="13" t="n">
        <x:f>'Raw Labour'!H109</x:f>
        <x:v>0</x:v>
      </x:c>
      <x:c r="G109" s="13" t="n">
        <x:f>'Raw Labour'!I109</x:f>
        <x:v>0</x:v>
      </x:c>
      <x:c r="H109" s="13" t="n">
        <x:f>C109-D109-G109+(E109-F109)*'Raw Labour'!K109</x:f>
        <x:v>180</x:v>
      </x:c>
      <x:c r="I109" s="13" t="n">
        <x:f>'Raw Labour'!J109</x:f>
        <x:v>160.6</x:v>
      </x:c>
      <x:c r="J109" s="13" t="n">
        <x:f>MAX(0,H109-I109)</x:f>
        <x:v>19.400000000000006</x:v>
      </x:c>
      <x:c r="K109" s="12" t="n">
        <x:f>MIN(1,I109/H109)</x:f>
        <x:v>0.8922222222222221</x:v>
      </x:c>
    </x:row>
    <x:row r="110" ht="22" customHeight="1">
      <x:c r="A110" s="5" t="n">
        <x:f>'Raw Labour'!A110</x:f>
        <x:v>20250708</x:v>
      </x:c>
      <x:c r="B110" s="5" t="str">
        <x:f>IF(TRIM(LOWER('Raw Labour'!C110))="delivery","DEL",IF(TRIM(LOWER('Raw Labour'!C110))="recycling","REC",IF(TRIM(LOWER('Raw Labour'!C110))="picking","PCK","UNMAPPED")))</x:f>
        <x:v>DEL</x:v>
      </x:c>
      <x:c r="C110" s="13" t="n">
        <x:f>'Raw Labour'!D110*'Raw Labour'!E110</x:f>
        <x:v>210</x:v>
      </x:c>
      <x:c r="D110" s="13" t="n">
        <x:f>'Raw Labour'!F110</x:f>
        <x:v>0</x:v>
      </x:c>
      <x:c r="E110" s="13" t="n">
        <x:f>'Raw Labour'!G110</x:f>
        <x:v>30</x:v>
      </x:c>
      <x:c r="F110" s="13" t="n">
        <x:f>'Raw Labour'!H110</x:f>
        <x:v>0</x:v>
      </x:c>
      <x:c r="G110" s="13" t="n">
        <x:f>'Raw Labour'!I110</x:f>
        <x:v>1.6</x:v>
      </x:c>
      <x:c r="H110" s="13" t="n">
        <x:f>C110-D110-G110+(E110-F110)*'Raw Labour'!K110</x:f>
        <x:v>227</x:v>
      </x:c>
      <x:c r="I110" s="13" t="n">
        <x:f>'Raw Labour'!J110</x:f>
        <x:v>563.5922330097087</x:v>
      </x:c>
      <x:c r="J110" s="13" t="n">
        <x:f>MAX(0,H110-I110)</x:f>
        <x:v>0</x:v>
      </x:c>
      <x:c r="K110" s="12" t="n">
        <x:f>MIN(1,I110/H110)</x:f>
        <x:v>1</x:v>
      </x:c>
    </x:row>
    <x:row r="111" ht="22" customHeight="1">
      <x:c r="A111" s="5" t="n">
        <x:f>'Raw Labour'!A111</x:f>
        <x:v>20250708</x:v>
      </x:c>
      <x:c r="B111" s="5" t="str">
        <x:f>IF(TRIM(LOWER('Raw Labour'!C111))="delivery","DEL",IF(TRIM(LOWER('Raw Labour'!C111))="recycling","REC",IF(TRIM(LOWER('Raw Labour'!C111))="picking","PCK","UNMAPPED")))</x:f>
        <x:v>REC</x:v>
      </x:c>
      <x:c r="C111" s="13" t="n">
        <x:f>'Raw Labour'!D111*'Raw Labour'!E111</x:f>
        <x:v>90</x:v>
      </x:c>
      <x:c r="D111" s="13" t="n">
        <x:f>'Raw Labour'!F111</x:f>
        <x:v>30</x:v>
      </x:c>
      <x:c r="E111" s="13" t="n">
        <x:f>'Raw Labour'!G111</x:f>
        <x:v>0</x:v>
      </x:c>
      <x:c r="F111" s="13" t="n">
        <x:f>'Raw Labour'!H111</x:f>
        <x:v>0</x:v>
      </x:c>
      <x:c r="G111" s="13" t="n">
        <x:f>'Raw Labour'!I111</x:f>
        <x:v>0</x:v>
      </x:c>
      <x:c r="H111" s="13" t="n">
        <x:f>C111-D111-G111+(E111-F111)*'Raw Labour'!K111</x:f>
        <x:v>60</x:v>
      </x:c>
      <x:c r="I111" s="13" t="n">
        <x:f>'Raw Labour'!J111</x:f>
        <x:v>47.2</x:v>
      </x:c>
      <x:c r="J111" s="13" t="n">
        <x:f>MAX(0,H111-I111)</x:f>
        <x:v>12.799999999999997</x:v>
      </x:c>
      <x:c r="K111" s="12" t="n">
        <x:f>MIN(1,I111/H111)</x:f>
        <x:v>0.7866666666666667</x:v>
      </x:c>
    </x:row>
    <x:row r="112" ht="22" customHeight="1">
      <x:c r="A112" s="5" t="n">
        <x:f>'Raw Labour'!A112</x:f>
        <x:v>20250708</x:v>
      </x:c>
      <x:c r="B112" s="5" t="str">
        <x:f>IF(TRIM(LOWER('Raw Labour'!C112))="delivery","DEL",IF(TRIM(LOWER('Raw Labour'!C112))="recycling","REC",IF(TRIM(LOWER('Raw Labour'!C112))="picking","PCK","UNMAPPED")))</x:f>
        <x:v>PCK</x:v>
      </x:c>
      <x:c r="C112" s="13" t="n">
        <x:f>'Raw Labour'!D112*'Raw Labour'!E112</x:f>
        <x:v>180</x:v>
      </x:c>
      <x:c r="D112" s="13" t="n">
        <x:f>'Raw Labour'!F112</x:f>
        <x:v>0</x:v>
      </x:c>
      <x:c r="E112" s="13" t="n">
        <x:f>'Raw Labour'!G112</x:f>
        <x:v>0</x:v>
      </x:c>
      <x:c r="F112" s="13" t="n">
        <x:f>'Raw Labour'!H112</x:f>
        <x:v>0</x:v>
      </x:c>
      <x:c r="G112" s="13" t="n">
        <x:f>'Raw Labour'!I112</x:f>
        <x:v>0</x:v>
      </x:c>
      <x:c r="H112" s="13" t="n">
        <x:f>C112-D112-G112+(E112-F112)*'Raw Labour'!K112</x:f>
        <x:v>180</x:v>
      </x:c>
      <x:c r="I112" s="13" t="n">
        <x:f>'Raw Labour'!J112</x:f>
        <x:v>164.6</x:v>
      </x:c>
      <x:c r="J112" s="13" t="n">
        <x:f>MAX(0,H112-I112)</x:f>
        <x:v>15.400000000000006</x:v>
      </x:c>
      <x:c r="K112" s="12" t="n">
        <x:f>MIN(1,I112/H112)</x:f>
        <x:v>0.9144444444444444</x:v>
      </x:c>
    </x:row>
    <x:row r="113" ht="22" customHeight="1">
      <x:c r="A113" s="5" t="n">
        <x:f>'Raw Labour'!A113</x:f>
        <x:v>20250709</x:v>
      </x:c>
      <x:c r="B113" s="5" t="str">
        <x:f>IF(TRIM(LOWER('Raw Labour'!C113))="delivery","DEL",IF(TRIM(LOWER('Raw Labour'!C113))="recycling","REC",IF(TRIM(LOWER('Raw Labour'!C113))="picking","PCK","UNMAPPED")))</x:f>
        <x:v>DEL</x:v>
      </x:c>
      <x:c r="C113" s="13" t="n">
        <x:f>'Raw Labour'!D113*'Raw Labour'!E113</x:f>
        <x:v>210</x:v>
      </x:c>
      <x:c r="D113" s="13" t="n">
        <x:f>'Raw Labour'!F113</x:f>
        <x:v>0</x:v>
      </x:c>
      <x:c r="E113" s="13" t="n">
        <x:f>'Raw Labour'!G113</x:f>
        <x:v>30</x:v>
      </x:c>
      <x:c r="F113" s="13" t="n">
        <x:f>'Raw Labour'!H113</x:f>
        <x:v>0</x:v>
      </x:c>
      <x:c r="G113" s="13" t="n">
        <x:f>'Raw Labour'!I113</x:f>
        <x:v>1.6</x:v>
      </x:c>
      <x:c r="H113" s="13" t="n">
        <x:f>C113-D113-G113+(E113-F113)*'Raw Labour'!K113</x:f>
        <x:v>227</x:v>
      </x:c>
      <x:c r="I113" s="13" t="n">
        <x:f>'Raw Labour'!J113</x:f>
        <x:v>566.504854368932</x:v>
      </x:c>
      <x:c r="J113" s="13" t="n">
        <x:f>MAX(0,H113-I113)</x:f>
        <x:v>0</x:v>
      </x:c>
      <x:c r="K113" s="12" t="n">
        <x:f>MIN(1,I113/H113)</x:f>
        <x:v>1</x:v>
      </x:c>
    </x:row>
    <x:row r="114" ht="22" customHeight="1">
      <x:c r="A114" s="5" t="n">
        <x:f>'Raw Labour'!A114</x:f>
        <x:v>20250709</x:v>
      </x:c>
      <x:c r="B114" s="5" t="str">
        <x:f>IF(TRIM(LOWER('Raw Labour'!C114))="delivery","DEL",IF(TRIM(LOWER('Raw Labour'!C114))="recycling","REC",IF(TRIM(LOWER('Raw Labour'!C114))="picking","PCK","UNMAPPED")))</x:f>
        <x:v>REC</x:v>
      </x:c>
      <x:c r="C114" s="13" t="n">
        <x:f>'Raw Labour'!D114*'Raw Labour'!E114</x:f>
        <x:v>90</x:v>
      </x:c>
      <x:c r="D114" s="13" t="n">
        <x:f>'Raw Labour'!F114</x:f>
        <x:v>30</x:v>
      </x:c>
      <x:c r="E114" s="13" t="n">
        <x:f>'Raw Labour'!G114</x:f>
        <x:v>0</x:v>
      </x:c>
      <x:c r="F114" s="13" t="n">
        <x:f>'Raw Labour'!H114</x:f>
        <x:v>0</x:v>
      </x:c>
      <x:c r="G114" s="13" t="n">
        <x:f>'Raw Labour'!I114</x:f>
        <x:v>0</x:v>
      </x:c>
      <x:c r="H114" s="13" t="n">
        <x:f>C114-D114-G114+(E114-F114)*'Raw Labour'!K114</x:f>
        <x:v>60</x:v>
      </x:c>
      <x:c r="I114" s="13" t="n">
        <x:f>'Raw Labour'!J114</x:f>
        <x:v>48.7</x:v>
      </x:c>
      <x:c r="J114" s="13" t="n">
        <x:f>MAX(0,H114-I114)</x:f>
        <x:v>11.299999999999997</x:v>
      </x:c>
      <x:c r="K114" s="12" t="n">
        <x:f>MIN(1,I114/H114)</x:f>
        <x:v>0.8116666666666668</x:v>
      </x:c>
    </x:row>
    <x:row r="115" ht="22" customHeight="1">
      <x:c r="A115" s="5" t="n">
        <x:f>'Raw Labour'!A115</x:f>
        <x:v>20250709</x:v>
      </x:c>
      <x:c r="B115" s="5" t="str">
        <x:f>IF(TRIM(LOWER('Raw Labour'!C115))="delivery","DEL",IF(TRIM(LOWER('Raw Labour'!C115))="recycling","REC",IF(TRIM(LOWER('Raw Labour'!C115))="picking","PCK","UNMAPPED")))</x:f>
        <x:v>PCK</x:v>
      </x:c>
      <x:c r="C115" s="13" t="n">
        <x:f>'Raw Labour'!D115*'Raw Labour'!E115</x:f>
        <x:v>180</x:v>
      </x:c>
      <x:c r="D115" s="13" t="n">
        <x:f>'Raw Labour'!F115</x:f>
        <x:v>0</x:v>
      </x:c>
      <x:c r="E115" s="13" t="n">
        <x:f>'Raw Labour'!G115</x:f>
        <x:v>0</x:v>
      </x:c>
      <x:c r="F115" s="13" t="n">
        <x:f>'Raw Labour'!H115</x:f>
        <x:v>0</x:v>
      </x:c>
      <x:c r="G115" s="13" t="n">
        <x:f>'Raw Labour'!I115</x:f>
        <x:v>0</x:v>
      </x:c>
      <x:c r="H115" s="13" t="n">
        <x:f>C115-D115-G115+(E115-F115)*'Raw Labour'!K115</x:f>
        <x:v>180</x:v>
      </x:c>
      <x:c r="I115" s="13" t="n">
        <x:f>'Raw Labour'!J115</x:f>
        <x:v>166.6</x:v>
      </x:c>
      <x:c r="J115" s="13" t="n">
        <x:f>MAX(0,H115-I115)</x:f>
        <x:v>13.400000000000006</x:v>
      </x:c>
      <x:c r="K115" s="12" t="n">
        <x:f>MIN(1,I115/H115)</x:f>
        <x:v>0.9255555555555556</x:v>
      </x:c>
    </x:row>
    <x:row r="116" ht="22" customHeight="1">
      <x:c r="A116" s="5" t="n">
        <x:f>'Raw Labour'!A116</x:f>
        <x:v>20250710</x:v>
      </x:c>
      <x:c r="B116" s="5" t="str">
        <x:f>IF(TRIM(LOWER('Raw Labour'!C116))="delivery","DEL",IF(TRIM(LOWER('Raw Labour'!C116))="recycling","REC",IF(TRIM(LOWER('Raw Labour'!C116))="picking","PCK","UNMAPPED")))</x:f>
        <x:v>DEL</x:v>
      </x:c>
      <x:c r="C116" s="13" t="n">
        <x:f>'Raw Labour'!D116*'Raw Labour'!E116</x:f>
        <x:v>210</x:v>
      </x:c>
      <x:c r="D116" s="13" t="n">
        <x:f>'Raw Labour'!F116</x:f>
        <x:v>0</x:v>
      </x:c>
      <x:c r="E116" s="13" t="n">
        <x:f>'Raw Labour'!G116</x:f>
        <x:v>30</x:v>
      </x:c>
      <x:c r="F116" s="13" t="n">
        <x:f>'Raw Labour'!H116</x:f>
        <x:v>0</x:v>
      </x:c>
      <x:c r="G116" s="13" t="n">
        <x:f>'Raw Labour'!I116</x:f>
        <x:v>1.6</x:v>
      </x:c>
      <x:c r="H116" s="13" t="n">
        <x:f>C116-D116-G116+(E116-F116)*'Raw Labour'!K116</x:f>
        <x:v>227</x:v>
      </x:c>
      <x:c r="I116" s="13" t="n">
        <x:f>'Raw Labour'!J116</x:f>
        <x:v>557.2815533980582</x:v>
      </x:c>
      <x:c r="J116" s="13" t="n">
        <x:f>MAX(0,H116-I116)</x:f>
        <x:v>0</x:v>
      </x:c>
      <x:c r="K116" s="12" t="n">
        <x:f>MIN(1,I116/H116)</x:f>
        <x:v>1</x:v>
      </x:c>
    </x:row>
    <x:row r="117" ht="22" customHeight="1">
      <x:c r="A117" s="5" t="n">
        <x:f>'Raw Labour'!A117</x:f>
        <x:v>20250710</x:v>
      </x:c>
      <x:c r="B117" s="5" t="str">
        <x:f>IF(TRIM(LOWER('Raw Labour'!C117))="delivery","DEL",IF(TRIM(LOWER('Raw Labour'!C117))="recycling","REC",IF(TRIM(LOWER('Raw Labour'!C117))="picking","PCK","UNMAPPED")))</x:f>
        <x:v>REC</x:v>
      </x:c>
      <x:c r="C117" s="13" t="n">
        <x:f>'Raw Labour'!D117*'Raw Labour'!E117</x:f>
        <x:v>90</x:v>
      </x:c>
      <x:c r="D117" s="13" t="n">
        <x:f>'Raw Labour'!F117</x:f>
        <x:v>30</x:v>
      </x:c>
      <x:c r="E117" s="13" t="n">
        <x:f>'Raw Labour'!G117</x:f>
        <x:v>0</x:v>
      </x:c>
      <x:c r="F117" s="13" t="n">
        <x:f>'Raw Labour'!H117</x:f>
        <x:v>0</x:v>
      </x:c>
      <x:c r="G117" s="13" t="n">
        <x:f>'Raw Labour'!I117</x:f>
        <x:v>0</x:v>
      </x:c>
      <x:c r="H117" s="13" t="n">
        <x:f>C117-D117-G117+(E117-F117)*'Raw Labour'!K117</x:f>
        <x:v>60</x:v>
      </x:c>
      <x:c r="I117" s="13" t="n">
        <x:f>'Raw Labour'!J117</x:f>
        <x:v>44.95</x:v>
      </x:c>
      <x:c r="J117" s="13" t="n">
        <x:f>MAX(0,H117-I117)</x:f>
        <x:v>15.049999999999997</x:v>
      </x:c>
      <x:c r="K117" s="12" t="n">
        <x:f>MIN(1,I117/H117)</x:f>
        <x:v>0.7491666666666668</x:v>
      </x:c>
    </x:row>
    <x:row r="118" ht="22" customHeight="1">
      <x:c r="A118" s="5" t="n">
        <x:f>'Raw Labour'!A118</x:f>
        <x:v>20250710</x:v>
      </x:c>
      <x:c r="B118" s="5" t="str">
        <x:f>IF(TRIM(LOWER('Raw Labour'!C118))="delivery","DEL",IF(TRIM(LOWER('Raw Labour'!C118))="recycling","REC",IF(TRIM(LOWER('Raw Labour'!C118))="picking","PCK","UNMAPPED")))</x:f>
        <x:v>PCK</x:v>
      </x:c>
      <x:c r="C118" s="13" t="n">
        <x:f>'Raw Labour'!D118*'Raw Labour'!E118</x:f>
        <x:v>180</x:v>
      </x:c>
      <x:c r="D118" s="13" t="n">
        <x:f>'Raw Labour'!F118</x:f>
        <x:v>0</x:v>
      </x:c>
      <x:c r="E118" s="13" t="n">
        <x:f>'Raw Labour'!G118</x:f>
        <x:v>0</x:v>
      </x:c>
      <x:c r="F118" s="13" t="n">
        <x:f>'Raw Labour'!H118</x:f>
        <x:v>0</x:v>
      </x:c>
      <x:c r="G118" s="13" t="n">
        <x:f>'Raw Labour'!I118</x:f>
        <x:v>0</x:v>
      </x:c>
      <x:c r="H118" s="13" t="n">
        <x:f>C118-D118-G118+(E118-F118)*'Raw Labour'!K118</x:f>
        <x:v>180</x:v>
      </x:c>
      <x:c r="I118" s="13" t="n">
        <x:f>'Raw Labour'!J118</x:f>
        <x:v>161.6</x:v>
      </x:c>
      <x:c r="J118" s="13" t="n">
        <x:f>MAX(0,H118-I118)</x:f>
        <x:v>18.400000000000006</x:v>
      </x:c>
      <x:c r="K118" s="12" t="n">
        <x:f>MIN(1,I118/H118)</x:f>
        <x:v>0.8977777777777778</x:v>
      </x:c>
    </x:row>
    <x:row r="119" ht="22" customHeight="1">
      <x:c r="A119" s="5" t="n">
        <x:f>'Raw Labour'!A119</x:f>
        <x:v>20250711</x:v>
      </x:c>
      <x:c r="B119" s="5" t="str">
        <x:f>IF(TRIM(LOWER('Raw Labour'!C119))="delivery","DEL",IF(TRIM(LOWER('Raw Labour'!C119))="recycling","REC",IF(TRIM(LOWER('Raw Labour'!C119))="picking","PCK","UNMAPPED")))</x:f>
        <x:v>DEL</x:v>
      </x:c>
      <x:c r="C119" s="13" t="n">
        <x:f>'Raw Labour'!D119*'Raw Labour'!E119</x:f>
        <x:v>210</x:v>
      </x:c>
      <x:c r="D119" s="13" t="n">
        <x:f>'Raw Labour'!F119</x:f>
        <x:v>0</x:v>
      </x:c>
      <x:c r="E119" s="13" t="n">
        <x:f>'Raw Labour'!G119</x:f>
        <x:v>30</x:v>
      </x:c>
      <x:c r="F119" s="13" t="n">
        <x:f>'Raw Labour'!H119</x:f>
        <x:v>0</x:v>
      </x:c>
      <x:c r="G119" s="13" t="n">
        <x:f>'Raw Labour'!I119</x:f>
        <x:v>1.6</x:v>
      </x:c>
      <x:c r="H119" s="13" t="n">
        <x:f>C119-D119-G119+(E119-F119)*'Raw Labour'!K119</x:f>
        <x:v>227</x:v>
      </x:c>
      <x:c r="I119" s="13" t="n">
        <x:f>'Raw Labour'!J119</x:f>
        <x:v>553.8834951456311</x:v>
      </x:c>
      <x:c r="J119" s="13" t="n">
        <x:f>MAX(0,H119-I119)</x:f>
        <x:v>0</x:v>
      </x:c>
      <x:c r="K119" s="12" t="n">
        <x:f>MIN(1,I119/H119)</x:f>
        <x:v>1</x:v>
      </x:c>
    </x:row>
    <x:row r="120" ht="22" customHeight="1">
      <x:c r="A120" s="5" t="n">
        <x:f>'Raw Labour'!A120</x:f>
        <x:v>20250711</x:v>
      </x:c>
      <x:c r="B120" s="5" t="str">
        <x:f>IF(TRIM(LOWER('Raw Labour'!C120))="delivery","DEL",IF(TRIM(LOWER('Raw Labour'!C120))="recycling","REC",IF(TRIM(LOWER('Raw Labour'!C120))="picking","PCK","UNMAPPED")))</x:f>
        <x:v>REC</x:v>
      </x:c>
      <x:c r="C120" s="13" t="n">
        <x:f>'Raw Labour'!D120*'Raw Labour'!E120</x:f>
        <x:v>90</x:v>
      </x:c>
      <x:c r="D120" s="13" t="n">
        <x:f>'Raw Labour'!F120</x:f>
        <x:v>30</x:v>
      </x:c>
      <x:c r="E120" s="13" t="n">
        <x:f>'Raw Labour'!G120</x:f>
        <x:v>0</x:v>
      </x:c>
      <x:c r="F120" s="13" t="n">
        <x:f>'Raw Labour'!H120</x:f>
        <x:v>0</x:v>
      </x:c>
      <x:c r="G120" s="13" t="n">
        <x:f>'Raw Labour'!I120</x:f>
        <x:v>0</x:v>
      </x:c>
      <x:c r="H120" s="13" t="n">
        <x:f>C120-D120-G120+(E120-F120)*'Raw Labour'!K120</x:f>
        <x:v>60</x:v>
      </x:c>
      <x:c r="I120" s="13" t="n">
        <x:f>'Raw Labour'!J120</x:f>
        <x:v>46.75</x:v>
      </x:c>
      <x:c r="J120" s="13" t="n">
        <x:f>MAX(0,H120-I120)</x:f>
        <x:v>13.25</x:v>
      </x:c>
      <x:c r="K120" s="12" t="n">
        <x:f>MIN(1,I120/H120)</x:f>
        <x:v>0.7791666666666667</x:v>
      </x:c>
    </x:row>
    <x:row r="121" ht="22" customHeight="1">
      <x:c r="A121" s="5" t="n">
        <x:f>'Raw Labour'!A121</x:f>
        <x:v>20250711</x:v>
      </x:c>
      <x:c r="B121" s="5" t="str">
        <x:f>IF(TRIM(LOWER('Raw Labour'!C121))="delivery","DEL",IF(TRIM(LOWER('Raw Labour'!C121))="recycling","REC",IF(TRIM(LOWER('Raw Labour'!C121))="picking","PCK","UNMAPPED")))</x:f>
        <x:v>PCK</x:v>
      </x:c>
      <x:c r="C121" s="13" t="n">
        <x:f>'Raw Labour'!D121*'Raw Labour'!E121</x:f>
        <x:v>180</x:v>
      </x:c>
      <x:c r="D121" s="13" t="n">
        <x:f>'Raw Labour'!F121</x:f>
        <x:v>0</x:v>
      </x:c>
      <x:c r="E121" s="13" t="n">
        <x:f>'Raw Labour'!G121</x:f>
        <x:v>0</x:v>
      </x:c>
      <x:c r="F121" s="13" t="n">
        <x:f>'Raw Labour'!H121</x:f>
        <x:v>0</x:v>
      </x:c>
      <x:c r="G121" s="13" t="n">
        <x:f>'Raw Labour'!I121</x:f>
        <x:v>0</x:v>
      </x:c>
      <x:c r="H121" s="13" t="n">
        <x:f>C121-D121-G121+(E121-F121)*'Raw Labour'!K121</x:f>
        <x:v>180</x:v>
      </x:c>
      <x:c r="I121" s="13" t="n">
        <x:f>'Raw Labour'!J121</x:f>
        <x:v>164</x:v>
      </x:c>
      <x:c r="J121" s="13" t="n">
        <x:f>MAX(0,H121-I121)</x:f>
        <x:v>16</x:v>
      </x:c>
      <x:c r="K121" s="12" t="n">
        <x:f>MIN(1,I121/H121)</x:f>
        <x:v>0.9111111111111111</x:v>
      </x:c>
    </x:row>
    <x:row r="122" ht="22" customHeight="1">
      <x:c r="A122" s="5" t="n">
        <x:f>'Raw Labour'!A122</x:f>
        <x:v>20250712</x:v>
      </x:c>
      <x:c r="B122" s="5" t="str">
        <x:f>IF(TRIM(LOWER('Raw Labour'!C122))="delivery","DEL",IF(TRIM(LOWER('Raw Labour'!C122))="recycling","REC",IF(TRIM(LOWER('Raw Labour'!C122))="picking","PCK","UNMAPPED")))</x:f>
        <x:v>DEL</x:v>
      </x:c>
      <x:c r="C122" s="13" t="n">
        <x:f>'Raw Labour'!D122*'Raw Labour'!E122</x:f>
        <x:v>210</x:v>
      </x:c>
      <x:c r="D122" s="13" t="n">
        <x:f>'Raw Labour'!F122</x:f>
        <x:v>0</x:v>
      </x:c>
      <x:c r="E122" s="13" t="n">
        <x:f>'Raw Labour'!G122</x:f>
        <x:v>30</x:v>
      </x:c>
      <x:c r="F122" s="13" t="n">
        <x:f>'Raw Labour'!H122</x:f>
        <x:v>0</x:v>
      </x:c>
      <x:c r="G122" s="13" t="n">
        <x:f>'Raw Labour'!I122</x:f>
        <x:v>1.6</x:v>
      </x:c>
      <x:c r="H122" s="13" t="n">
        <x:f>C122-D122-G122+(E122-F122)*'Raw Labour'!K122</x:f>
        <x:v>227</x:v>
      </x:c>
      <x:c r="I122" s="13" t="n">
        <x:f>'Raw Labour'!J122</x:f>
        <x:v>540.7766990291262</x:v>
      </x:c>
      <x:c r="J122" s="13" t="n">
        <x:f>MAX(0,H122-I122)</x:f>
        <x:v>0</x:v>
      </x:c>
      <x:c r="K122" s="12" t="n">
        <x:f>MIN(1,I122/H122)</x:f>
        <x:v>1</x:v>
      </x:c>
    </x:row>
    <x:row r="123" ht="22" customHeight="1">
      <x:c r="A123" s="5" t="n">
        <x:f>'Raw Labour'!A123</x:f>
        <x:v>20250712</x:v>
      </x:c>
      <x:c r="B123" s="5" t="str">
        <x:f>IF(TRIM(LOWER('Raw Labour'!C123))="delivery","DEL",IF(TRIM(LOWER('Raw Labour'!C123))="recycling","REC",IF(TRIM(LOWER('Raw Labour'!C123))="picking","PCK","UNMAPPED")))</x:f>
        <x:v>REC</x:v>
      </x:c>
      <x:c r="C123" s="13" t="n">
        <x:f>'Raw Labour'!D123*'Raw Labour'!E123</x:f>
        <x:v>90</x:v>
      </x:c>
      <x:c r="D123" s="13" t="n">
        <x:f>'Raw Labour'!F123</x:f>
        <x:v>30</x:v>
      </x:c>
      <x:c r="E123" s="13" t="n">
        <x:f>'Raw Labour'!G123</x:f>
        <x:v>0</x:v>
      </x:c>
      <x:c r="F123" s="13" t="n">
        <x:f>'Raw Labour'!H123</x:f>
        <x:v>0</x:v>
      </x:c>
      <x:c r="G123" s="13" t="n">
        <x:f>'Raw Labour'!I123</x:f>
        <x:v>0</x:v>
      </x:c>
      <x:c r="H123" s="13" t="n">
        <x:f>C123-D123-G123+(E123-F123)*'Raw Labour'!K123</x:f>
        <x:v>60</x:v>
      </x:c>
      <x:c r="I123" s="13" t="n">
        <x:f>'Raw Labour'!J123</x:f>
        <x:v>43.75</x:v>
      </x:c>
      <x:c r="J123" s="13" t="n">
        <x:f>MAX(0,H123-I123)</x:f>
        <x:v>16.25</x:v>
      </x:c>
      <x:c r="K123" s="12" t="n">
        <x:f>MIN(1,I123/H123)</x:f>
        <x:v>0.7291666666666666</x:v>
      </x:c>
    </x:row>
    <x:row r="124" ht="22" customHeight="1">
      <x:c r="A124" s="5" t="n">
        <x:f>'Raw Labour'!A124</x:f>
        <x:v>20250712</x:v>
      </x:c>
      <x:c r="B124" s="5" t="str">
        <x:f>IF(TRIM(LOWER('Raw Labour'!C124))="delivery","DEL",IF(TRIM(LOWER('Raw Labour'!C124))="recycling","REC",IF(TRIM(LOWER('Raw Labour'!C124))="picking","PCK","UNMAPPED")))</x:f>
        <x:v>PCK</x:v>
      </x:c>
      <x:c r="C124" s="13" t="n">
        <x:f>'Raw Labour'!D124*'Raw Labour'!E124</x:f>
        <x:v>180</x:v>
      </x:c>
      <x:c r="D124" s="13" t="n">
        <x:f>'Raw Labour'!F124</x:f>
        <x:v>0</x:v>
      </x:c>
      <x:c r="E124" s="13" t="n">
        <x:f>'Raw Labour'!G124</x:f>
        <x:v>0</x:v>
      </x:c>
      <x:c r="F124" s="13" t="n">
        <x:f>'Raw Labour'!H124</x:f>
        <x:v>0</x:v>
      </x:c>
      <x:c r="G124" s="13" t="n">
        <x:f>'Raw Labour'!I124</x:f>
        <x:v>0</x:v>
      </x:c>
      <x:c r="H124" s="13" t="n">
        <x:f>C124-D124-G124+(E124-F124)*'Raw Labour'!K124</x:f>
        <x:v>180</x:v>
      </x:c>
      <x:c r="I124" s="13" t="n">
        <x:f>'Raw Labour'!J124</x:f>
        <x:v>160</x:v>
      </x:c>
      <x:c r="J124" s="13" t="n">
        <x:f>MAX(0,H124-I124)</x:f>
        <x:v>20</x:v>
      </x:c>
      <x:c r="K124" s="12" t="n">
        <x:f>MIN(1,I124/H124)</x:f>
        <x:v>0.8888888888888888</x:v>
      </x:c>
    </x:row>
    <x:row r="125" ht="22" customHeight="1">
      <x:c r="A125" s="5" t="n">
        <x:f>'Raw Labour'!A125</x:f>
        <x:v>20250713</x:v>
      </x:c>
      <x:c r="B125" s="5" t="str">
        <x:f>IF(TRIM(LOWER('Raw Labour'!C125))="delivery","DEL",IF(TRIM(LOWER('Raw Labour'!C125))="recycling","REC",IF(TRIM(LOWER('Raw Labour'!C125))="picking","PCK","UNMAPPED")))</x:f>
        <x:v>DEL</x:v>
      </x:c>
      <x:c r="C125" s="13" t="n">
        <x:f>'Raw Labour'!D125*'Raw Labour'!E125</x:f>
        <x:v>210</x:v>
      </x:c>
      <x:c r="D125" s="13" t="n">
        <x:f>'Raw Labour'!F125</x:f>
        <x:v>0</x:v>
      </x:c>
      <x:c r="E125" s="13" t="n">
        <x:f>'Raw Labour'!G125</x:f>
        <x:v>30</x:v>
      </x:c>
      <x:c r="F125" s="13" t="n">
        <x:f>'Raw Labour'!H125</x:f>
        <x:v>0</x:v>
      </x:c>
      <x:c r="G125" s="13" t="n">
        <x:f>'Raw Labour'!I125</x:f>
        <x:v>1.6</x:v>
      </x:c>
      <x:c r="H125" s="13" t="n">
        <x:f>C125-D125-G125+(E125-F125)*'Raw Labour'!K125</x:f>
        <x:v>227</x:v>
      </x:c>
      <x:c r="I125" s="13" t="n">
        <x:f>'Raw Labour'!J125</x:f>
        <x:v>536.4077669902913</x:v>
      </x:c>
      <x:c r="J125" s="13" t="n">
        <x:f>MAX(0,H125-I125)</x:f>
        <x:v>0</x:v>
      </x:c>
      <x:c r="K125" s="12" t="n">
        <x:f>MIN(1,I125/H125)</x:f>
        <x:v>1</x:v>
      </x:c>
    </x:row>
    <x:row r="126" ht="22" customHeight="1">
      <x:c r="A126" s="5" t="n">
        <x:f>'Raw Labour'!A126</x:f>
        <x:v>20250713</x:v>
      </x:c>
      <x:c r="B126" s="5" t="str">
        <x:f>IF(TRIM(LOWER('Raw Labour'!C126))="delivery","DEL",IF(TRIM(LOWER('Raw Labour'!C126))="recycling","REC",IF(TRIM(LOWER('Raw Labour'!C126))="picking","PCK","UNMAPPED")))</x:f>
        <x:v>REC</x:v>
      </x:c>
      <x:c r="C126" s="13" t="n">
        <x:f>'Raw Labour'!D126*'Raw Labour'!E126</x:f>
        <x:v>90</x:v>
      </x:c>
      <x:c r="D126" s="13" t="n">
        <x:f>'Raw Labour'!F126</x:f>
        <x:v>30</x:v>
      </x:c>
      <x:c r="E126" s="13" t="n">
        <x:f>'Raw Labour'!G126</x:f>
        <x:v>0</x:v>
      </x:c>
      <x:c r="F126" s="13" t="n">
        <x:f>'Raw Labour'!H126</x:f>
        <x:v>0</x:v>
      </x:c>
      <x:c r="G126" s="13" t="n">
        <x:f>'Raw Labour'!I126</x:f>
        <x:v>0</x:v>
      </x:c>
      <x:c r="H126" s="13" t="n">
        <x:f>C126-D126-G126+(E126-F126)*'Raw Labour'!K126</x:f>
        <x:v>60</x:v>
      </x:c>
      <x:c r="I126" s="13" t="n">
        <x:f>'Raw Labour'!J126</x:f>
        <x:v>46.45</x:v>
      </x:c>
      <x:c r="J126" s="13" t="n">
        <x:f>MAX(0,H126-I126)</x:f>
        <x:v>13.549999999999997</x:v>
      </x:c>
      <x:c r="K126" s="12" t="n">
        <x:f>MIN(1,I126/H126)</x:f>
        <x:v>0.7741666666666667</x:v>
      </x:c>
    </x:row>
    <x:row r="127" ht="22" customHeight="1">
      <x:c r="A127" s="5" t="n">
        <x:f>'Raw Labour'!A127</x:f>
        <x:v>20250713</x:v>
      </x:c>
      <x:c r="B127" s="5" t="str">
        <x:f>IF(TRIM(LOWER('Raw Labour'!C127))="delivery","DEL",IF(TRIM(LOWER('Raw Labour'!C127))="recycling","REC",IF(TRIM(LOWER('Raw Labour'!C127))="picking","PCK","UNMAPPED")))</x:f>
        <x:v>PCK</x:v>
      </x:c>
      <x:c r="C127" s="13" t="n">
        <x:f>'Raw Labour'!D127*'Raw Labour'!E127</x:f>
        <x:v>180</x:v>
      </x:c>
      <x:c r="D127" s="13" t="n">
        <x:f>'Raw Labour'!F127</x:f>
        <x:v>0</x:v>
      </x:c>
      <x:c r="E127" s="13" t="n">
        <x:f>'Raw Labour'!G127</x:f>
        <x:v>0</x:v>
      </x:c>
      <x:c r="F127" s="13" t="n">
        <x:f>'Raw Labour'!H127</x:f>
        <x:v>0</x:v>
      </x:c>
      <x:c r="G127" s="13" t="n">
        <x:f>'Raw Labour'!I127</x:f>
        <x:v>0</x:v>
      </x:c>
      <x:c r="H127" s="13" t="n">
        <x:f>C127-D127-G127+(E127-F127)*'Raw Labour'!K127</x:f>
        <x:v>180</x:v>
      </x:c>
      <x:c r="I127" s="13" t="n">
        <x:f>'Raw Labour'!J127</x:f>
        <x:v>163.6</x:v>
      </x:c>
      <x:c r="J127" s="13" t="n">
        <x:f>MAX(0,H127-I127)</x:f>
        <x:v>16.400000000000006</x:v>
      </x:c>
      <x:c r="K127" s="12" t="n">
        <x:f>MIN(1,I127/H127)</x:f>
        <x:v>0.9088888888888889</x:v>
      </x:c>
    </x:row>
  </x:sheetData>
  <x:pageMargins left="0.7" right="0.7" top="0.75" bottom="0.75" header="0.3" footer="0.3"/>
  <x:tableParts count="1">
    <x:tablePart xmlns:r="http://schemas.openxmlformats.org/officeDocument/2006/relationships" r:id="Rd41788f4d3024e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5" hidden="0" customWidth="1"/>
  </x:cols>
  <x:sheetData>
    <x:row r="1" ht="22" customHeight="1">
      <x:c r="A1" s="7" t="str">
        <x:v>DateKey</x:v>
      </x:c>
      <x:c r="B1" s="7" t="str">
        <x:v>Date</x:v>
      </x:c>
      <x:c r="C1" s="7" t="str">
        <x:v>Phase</x:v>
      </x:c>
      <x:c r="D1" s="7" t="str">
        <x:v>IncomingOrders</x:v>
      </x:c>
      <x:c r="E1" s="7" t="str">
        <x:v>OrdersPerEffectiveHour</x:v>
      </x:c>
    </x:row>
    <x:row r="2" ht="22" customHeight="1">
      <x:c r="A2" s="8" t="n">
        <x:v>20250602</x:v>
      </x:c>
      <x:c r="B2" s="9" t="n">
        <x:v>45810</x:v>
      </x:c>
      <x:c r="C2" s="8" t="str">
        <x:v>Baseline</x:v>
      </x:c>
      <x:c r="D2" s="8" t="n">
        <x:v>488</x:v>
      </x:c>
      <x:c r="E2" s="8" t="n">
        <x:v>2.45</x:v>
      </x:c>
    </x:row>
    <x:row r="3" ht="22" customHeight="1">
      <x:c r="A3" s="8" t="n">
        <x:v>20250603</x:v>
      </x:c>
      <x:c r="B3" s="9" t="n">
        <x:v>45811</x:v>
      </x:c>
      <x:c r="C3" s="8" t="str">
        <x:v>Baseline</x:v>
      </x:c>
      <x:c r="D3" s="8" t="n">
        <x:v>508</x:v>
      </x:c>
      <x:c r="E3" s="8" t="n">
        <x:v>2.45</x:v>
      </x:c>
    </x:row>
    <x:row r="4" ht="22" customHeight="1">
      <x:c r="A4" s="8" t="n">
        <x:v>20250604</x:v>
      </x:c>
      <x:c r="B4" s="9" t="n">
        <x:v>45812</x:v>
      </x:c>
      <x:c r="C4" s="8" t="str">
        <x:v>Baseline</x:v>
      </x:c>
      <x:c r="D4" s="8" t="n">
        <x:v>518</x:v>
      </x:c>
      <x:c r="E4" s="8" t="n">
        <x:v>2.45</x:v>
      </x:c>
    </x:row>
    <x:row r="5" ht="22" customHeight="1">
      <x:c r="A5" s="8" t="n">
        <x:v>20250605</x:v>
      </x:c>
      <x:c r="B5" s="9" t="n">
        <x:v>45813</x:v>
      </x:c>
      <x:c r="C5" s="8" t="str">
        <x:v>Baseline</x:v>
      </x:c>
      <x:c r="D5" s="8" t="n">
        <x:v>493</x:v>
      </x:c>
      <x:c r="E5" s="8" t="n">
        <x:v>2.45</x:v>
      </x:c>
    </x:row>
    <x:row r="6" ht="22" customHeight="1">
      <x:c r="A6" s="8" t="n">
        <x:v>20250606</x:v>
      </x:c>
      <x:c r="B6" s="9" t="n">
        <x:v>45814</x:v>
      </x:c>
      <x:c r="C6" s="8" t="str">
        <x:v>Baseline</x:v>
      </x:c>
      <x:c r="D6" s="8" t="n">
        <x:v>505</x:v>
      </x:c>
      <x:c r="E6" s="8" t="n">
        <x:v>2.45</x:v>
      </x:c>
    </x:row>
    <x:row r="7" ht="22" customHeight="1">
      <x:c r="A7" s="8" t="n">
        <x:v>20250607</x:v>
      </x:c>
      <x:c r="B7" s="9" t="n">
        <x:v>45815</x:v>
      </x:c>
      <x:c r="C7" s="8" t="str">
        <x:v>Baseline</x:v>
      </x:c>
      <x:c r="D7" s="8" t="n">
        <x:v>485</x:v>
      </x:c>
      <x:c r="E7" s="8" t="n">
        <x:v>2.45</x:v>
      </x:c>
    </x:row>
    <x:row r="8" ht="22" customHeight="1">
      <x:c r="A8" s="8" t="n">
        <x:v>20250608</x:v>
      </x:c>
      <x:c r="B8" s="9" t="n">
        <x:v>45816</x:v>
      </x:c>
      <x:c r="C8" s="8" t="str">
        <x:v>Baseline</x:v>
      </x:c>
      <x:c r="D8" s="8" t="n">
        <x:v>503</x:v>
      </x:c>
      <x:c r="E8" s="8" t="n">
        <x:v>2.45</x:v>
      </x:c>
    </x:row>
    <x:row r="9" ht="22" customHeight="1">
      <x:c r="A9" s="8" t="n">
        <x:v>20250609</x:v>
      </x:c>
      <x:c r="B9" s="9" t="n">
        <x:v>45817</x:v>
      </x:c>
      <x:c r="C9" s="8" t="str">
        <x:v>Disruption</x:v>
      </x:c>
      <x:c r="D9" s="8" t="n">
        <x:v>438</x:v>
      </x:c>
      <x:c r="E9" s="8" t="n">
        <x:v>1.88</x:v>
      </x:c>
    </x:row>
    <x:row r="10" ht="22" customHeight="1">
      <x:c r="A10" s="8" t="n">
        <x:v>20250610</x:v>
      </x:c>
      <x:c r="B10" s="9" t="n">
        <x:v>45818</x:v>
      </x:c>
      <x:c r="C10" s="8" t="str">
        <x:v>Disruption</x:v>
      </x:c>
      <x:c r="D10" s="8" t="n">
        <x:v>458</x:v>
      </x:c>
      <x:c r="E10" s="8" t="n">
        <x:v>1.88</x:v>
      </x:c>
    </x:row>
    <x:row r="11" ht="22" customHeight="1">
      <x:c r="A11" s="8" t="n">
        <x:v>20250611</x:v>
      </x:c>
      <x:c r="B11" s="9" t="n">
        <x:v>45819</x:v>
      </x:c>
      <x:c r="C11" s="8" t="str">
        <x:v>Disruption</x:v>
      </x:c>
      <x:c r="D11" s="8" t="n">
        <x:v>468</x:v>
      </x:c>
      <x:c r="E11" s="8" t="n">
        <x:v>1.88</x:v>
      </x:c>
    </x:row>
    <x:row r="12" ht="22" customHeight="1">
      <x:c r="A12" s="8" t="n">
        <x:v>20250612</x:v>
      </x:c>
      <x:c r="B12" s="9" t="n">
        <x:v>45820</x:v>
      </x:c>
      <x:c r="C12" s="8" t="str">
        <x:v>Disruption</x:v>
      </x:c>
      <x:c r="D12" s="8" t="n">
        <x:v>443</x:v>
      </x:c>
      <x:c r="E12" s="8" t="n">
        <x:v>1.88</x:v>
      </x:c>
    </x:row>
    <x:row r="13" ht="22" customHeight="1">
      <x:c r="A13" s="8" t="n">
        <x:v>20250613</x:v>
      </x:c>
      <x:c r="B13" s="9" t="n">
        <x:v>45821</x:v>
      </x:c>
      <x:c r="C13" s="8" t="str">
        <x:v>Disruption</x:v>
      </x:c>
      <x:c r="D13" s="8" t="n">
        <x:v>455</x:v>
      </x:c>
      <x:c r="E13" s="8" t="n">
        <x:v>1.88</x:v>
      </x:c>
    </x:row>
    <x:row r="14" ht="22" customHeight="1">
      <x:c r="A14" s="8" t="n">
        <x:v>20250614</x:v>
      </x:c>
      <x:c r="B14" s="9" t="n">
        <x:v>45822</x:v>
      </x:c>
      <x:c r="C14" s="8" t="str">
        <x:v>Disruption</x:v>
      </x:c>
      <x:c r="D14" s="8" t="n">
        <x:v>435</x:v>
      </x:c>
      <x:c r="E14" s="8" t="n">
        <x:v>1.88</x:v>
      </x:c>
    </x:row>
    <x:row r="15" ht="22" customHeight="1">
      <x:c r="A15" s="8" t="n">
        <x:v>20250615</x:v>
      </x:c>
      <x:c r="B15" s="9" t="n">
        <x:v>45823</x:v>
      </x:c>
      <x:c r="C15" s="8" t="str">
        <x:v>Disruption</x:v>
      </x:c>
      <x:c r="D15" s="8" t="n">
        <x:v>453</x:v>
      </x:c>
      <x:c r="E15" s="8" t="n">
        <x:v>1.88</x:v>
      </x:c>
    </x:row>
    <x:row r="16" ht="22" customHeight="1">
      <x:c r="A16" s="8" t="n">
        <x:v>20250616</x:v>
      </x:c>
      <x:c r="B16" s="9" t="n">
        <x:v>45824</x:v>
      </x:c>
      <x:c r="C16" s="8" t="str">
        <x:v>Disruption</x:v>
      </x:c>
      <x:c r="D16" s="8" t="n">
        <x:v>438</x:v>
      </x:c>
      <x:c r="E16" s="8" t="n">
        <x:v>1.88</x:v>
      </x:c>
    </x:row>
    <x:row r="17" ht="22" customHeight="1">
      <x:c r="A17" s="8" t="n">
        <x:v>20250617</x:v>
      </x:c>
      <x:c r="B17" s="9" t="n">
        <x:v>45825</x:v>
      </x:c>
      <x:c r="C17" s="8" t="str">
        <x:v>Disruption</x:v>
      </x:c>
      <x:c r="D17" s="8" t="n">
        <x:v>458</x:v>
      </x:c>
      <x:c r="E17" s="8" t="n">
        <x:v>1.88</x:v>
      </x:c>
    </x:row>
    <x:row r="18" ht="22" customHeight="1">
      <x:c r="A18" s="8" t="n">
        <x:v>20250618</x:v>
      </x:c>
      <x:c r="B18" s="9" t="n">
        <x:v>45826</x:v>
      </x:c>
      <x:c r="C18" s="8" t="str">
        <x:v>Disruption</x:v>
      </x:c>
      <x:c r="D18" s="8" t="n">
        <x:v>468</x:v>
      </x:c>
      <x:c r="E18" s="8" t="n">
        <x:v>1.88</x:v>
      </x:c>
    </x:row>
    <x:row r="19" ht="22" customHeight="1">
      <x:c r="A19" s="8" t="n">
        <x:v>20250619</x:v>
      </x:c>
      <x:c r="B19" s="9" t="n">
        <x:v>45827</x:v>
      </x:c>
      <x:c r="C19" s="8" t="str">
        <x:v>Disruption</x:v>
      </x:c>
      <x:c r="D19" s="8" t="n">
        <x:v>443</x:v>
      </x:c>
      <x:c r="E19" s="8" t="n">
        <x:v>1.88</x:v>
      </x:c>
    </x:row>
    <x:row r="20" ht="22" customHeight="1">
      <x:c r="A20" s="8" t="n">
        <x:v>20250620</x:v>
      </x:c>
      <x:c r="B20" s="9" t="n">
        <x:v>45828</x:v>
      </x:c>
      <x:c r="C20" s="8" t="str">
        <x:v>Disruption</x:v>
      </x:c>
      <x:c r="D20" s="8" t="n">
        <x:v>455</x:v>
      </x:c>
      <x:c r="E20" s="8" t="n">
        <x:v>1.88</x:v>
      </x:c>
    </x:row>
    <x:row r="21" ht="22" customHeight="1">
      <x:c r="A21" s="8" t="n">
        <x:v>20250621</x:v>
      </x:c>
      <x:c r="B21" s="9" t="n">
        <x:v>45829</x:v>
      </x:c>
      <x:c r="C21" s="8" t="str">
        <x:v>Disruption</x:v>
      </x:c>
      <x:c r="D21" s="8" t="n">
        <x:v>435</x:v>
      </x:c>
      <x:c r="E21" s="8" t="n">
        <x:v>1.88</x:v>
      </x:c>
    </x:row>
    <x:row r="22" ht="22" customHeight="1">
      <x:c r="A22" s="8" t="n">
        <x:v>20250622</x:v>
      </x:c>
      <x:c r="B22" s="9" t="n">
        <x:v>45830</x:v>
      </x:c>
      <x:c r="C22" s="8" t="str">
        <x:v>Disruption</x:v>
      </x:c>
      <x:c r="D22" s="8" t="n">
        <x:v>453</x:v>
      </x:c>
      <x:c r="E22" s="8" t="n">
        <x:v>1.88</x:v>
      </x:c>
    </x:row>
    <x:row r="23" ht="22" customHeight="1">
      <x:c r="A23" s="8" t="n">
        <x:v>20250623</x:v>
      </x:c>
      <x:c r="B23" s="9" t="n">
        <x:v>45831</x:v>
      </x:c>
      <x:c r="C23" s="8" t="str">
        <x:v>Reassignment</x:v>
      </x:c>
      <x:c r="D23" s="8" t="n">
        <x:v>443</x:v>
      </x:c>
      <x:c r="E23" s="8" t="n">
        <x:v>2.06</x:v>
      </x:c>
    </x:row>
    <x:row r="24" ht="22" customHeight="1">
      <x:c r="A24" s="8" t="n">
        <x:v>20250624</x:v>
      </x:c>
      <x:c r="B24" s="9" t="n">
        <x:v>45832</x:v>
      </x:c>
      <x:c r="C24" s="8" t="str">
        <x:v>Reassignment</x:v>
      </x:c>
      <x:c r="D24" s="8" t="n">
        <x:v>463</x:v>
      </x:c>
      <x:c r="E24" s="8" t="n">
        <x:v>2.06</x:v>
      </x:c>
    </x:row>
    <x:row r="25" ht="22" customHeight="1">
      <x:c r="A25" s="8" t="n">
        <x:v>20250625</x:v>
      </x:c>
      <x:c r="B25" s="9" t="n">
        <x:v>45833</x:v>
      </x:c>
      <x:c r="C25" s="8" t="str">
        <x:v>Reassignment</x:v>
      </x:c>
      <x:c r="D25" s="8" t="n">
        <x:v>473</x:v>
      </x:c>
      <x:c r="E25" s="8" t="n">
        <x:v>2.06</x:v>
      </x:c>
    </x:row>
    <x:row r="26" ht="22" customHeight="1">
      <x:c r="A26" s="8" t="n">
        <x:v>20250626</x:v>
      </x:c>
      <x:c r="B26" s="9" t="n">
        <x:v>45834</x:v>
      </x:c>
      <x:c r="C26" s="8" t="str">
        <x:v>Reassignment</x:v>
      </x:c>
      <x:c r="D26" s="8" t="n">
        <x:v>448</x:v>
      </x:c>
      <x:c r="E26" s="8" t="n">
        <x:v>2.06</x:v>
      </x:c>
    </x:row>
    <x:row r="27" ht="22" customHeight="1">
      <x:c r="A27" s="8" t="n">
        <x:v>20250627</x:v>
      </x:c>
      <x:c r="B27" s="9" t="n">
        <x:v>45835</x:v>
      </x:c>
      <x:c r="C27" s="8" t="str">
        <x:v>Reassignment</x:v>
      </x:c>
      <x:c r="D27" s="8" t="n">
        <x:v>460</x:v>
      </x:c>
      <x:c r="E27" s="8" t="n">
        <x:v>2.06</x:v>
      </x:c>
    </x:row>
    <x:row r="28" ht="22" customHeight="1">
      <x:c r="A28" s="8" t="n">
        <x:v>20250628</x:v>
      </x:c>
      <x:c r="B28" s="9" t="n">
        <x:v>45836</x:v>
      </x:c>
      <x:c r="C28" s="8" t="str">
        <x:v>Reassignment</x:v>
      </x:c>
      <x:c r="D28" s="8" t="n">
        <x:v>440</x:v>
      </x:c>
      <x:c r="E28" s="8" t="n">
        <x:v>2.06</x:v>
      </x:c>
    </x:row>
    <x:row r="29" ht="22" customHeight="1">
      <x:c r="A29" s="8" t="n">
        <x:v>20250629</x:v>
      </x:c>
      <x:c r="B29" s="9" t="n">
        <x:v>45837</x:v>
      </x:c>
      <x:c r="C29" s="8" t="str">
        <x:v>Reassignment</x:v>
      </x:c>
      <x:c r="D29" s="8" t="n">
        <x:v>458</x:v>
      </x:c>
      <x:c r="E29" s="8" t="n">
        <x:v>2.06</x:v>
      </x:c>
    </x:row>
    <x:row r="30" ht="22" customHeight="1">
      <x:c r="A30" s="8" t="n">
        <x:v>20250630</x:v>
      </x:c>
      <x:c r="B30" s="9" t="n">
        <x:v>45838</x:v>
      </x:c>
      <x:c r="C30" s="8" t="str">
        <x:v>Reassignment</x:v>
      </x:c>
      <x:c r="D30" s="8" t="n">
        <x:v>443</x:v>
      </x:c>
      <x:c r="E30" s="8" t="n">
        <x:v>2.06</x:v>
      </x:c>
    </x:row>
    <x:row r="31" ht="22" customHeight="1">
      <x:c r="A31" s="8" t="n">
        <x:v>20250701</x:v>
      </x:c>
      <x:c r="B31" s="9" t="n">
        <x:v>45839</x:v>
      </x:c>
      <x:c r="C31" s="8" t="str">
        <x:v>Reassignment</x:v>
      </x:c>
      <x:c r="D31" s="8" t="n">
        <x:v>463</x:v>
      </x:c>
      <x:c r="E31" s="8" t="n">
        <x:v>2.06</x:v>
      </x:c>
    </x:row>
    <x:row r="32" ht="22" customHeight="1">
      <x:c r="A32" s="8" t="n">
        <x:v>20250702</x:v>
      </x:c>
      <x:c r="B32" s="9" t="n">
        <x:v>45840</x:v>
      </x:c>
      <x:c r="C32" s="8" t="str">
        <x:v>Reassignment</x:v>
      </x:c>
      <x:c r="D32" s="8" t="n">
        <x:v>473</x:v>
      </x:c>
      <x:c r="E32" s="8" t="n">
        <x:v>2.06</x:v>
      </x:c>
    </x:row>
    <x:row r="33" ht="22" customHeight="1">
      <x:c r="A33" s="8" t="n">
        <x:v>20250703</x:v>
      </x:c>
      <x:c r="B33" s="9" t="n">
        <x:v>45841</x:v>
      </x:c>
      <x:c r="C33" s="8" t="str">
        <x:v>Reassignment</x:v>
      </x:c>
      <x:c r="D33" s="8" t="n">
        <x:v>448</x:v>
      </x:c>
      <x:c r="E33" s="8" t="n">
        <x:v>2.06</x:v>
      </x:c>
    </x:row>
    <x:row r="34" ht="22" customHeight="1">
      <x:c r="A34" s="8" t="n">
        <x:v>20250704</x:v>
      </x:c>
      <x:c r="B34" s="9" t="n">
        <x:v>45842</x:v>
      </x:c>
      <x:c r="C34" s="8" t="str">
        <x:v>Reassignment</x:v>
      </x:c>
      <x:c r="D34" s="8" t="n">
        <x:v>460</x:v>
      </x:c>
      <x:c r="E34" s="8" t="n">
        <x:v>2.06</x:v>
      </x:c>
    </x:row>
    <x:row r="35" ht="22" customHeight="1">
      <x:c r="A35" s="8" t="n">
        <x:v>20250705</x:v>
      </x:c>
      <x:c r="B35" s="9" t="n">
        <x:v>45843</x:v>
      </x:c>
      <x:c r="C35" s="8" t="str">
        <x:v>Reassignment</x:v>
      </x:c>
      <x:c r="D35" s="8" t="n">
        <x:v>440</x:v>
      </x:c>
      <x:c r="E35" s="8" t="n">
        <x:v>2.06</x:v>
      </x:c>
    </x:row>
    <x:row r="36" ht="22" customHeight="1">
      <x:c r="A36" s="8" t="n">
        <x:v>20250706</x:v>
      </x:c>
      <x:c r="B36" s="9" t="n">
        <x:v>45844</x:v>
      </x:c>
      <x:c r="C36" s="8" t="str">
        <x:v>Reassignment</x:v>
      </x:c>
      <x:c r="D36" s="8" t="n">
        <x:v>458</x:v>
      </x:c>
      <x:c r="E36" s="8" t="n">
        <x:v>2.06</x:v>
      </x:c>
    </x:row>
    <x:row r="37" ht="22" customHeight="1">
      <x:c r="A37" s="8" t="n">
        <x:v>20250707</x:v>
      </x:c>
      <x:c r="B37" s="9" t="n">
        <x:v>45845</x:v>
      </x:c>
      <x:c r="C37" s="8" t="str">
        <x:v>Reassignment</x:v>
      </x:c>
      <x:c r="D37" s="8" t="n">
        <x:v>443</x:v>
      </x:c>
      <x:c r="E37" s="8" t="n">
        <x:v>2.06</x:v>
      </x:c>
    </x:row>
    <x:row r="38" ht="22" customHeight="1">
      <x:c r="A38" s="8" t="n">
        <x:v>20250708</x:v>
      </x:c>
      <x:c r="B38" s="9" t="n">
        <x:v>45846</x:v>
      </x:c>
      <x:c r="C38" s="8" t="str">
        <x:v>Reassignment</x:v>
      </x:c>
      <x:c r="D38" s="8" t="n">
        <x:v>463</x:v>
      </x:c>
      <x:c r="E38" s="8" t="n">
        <x:v>2.06</x:v>
      </x:c>
    </x:row>
    <x:row r="39" ht="22" customHeight="1">
      <x:c r="A39" s="8" t="n">
        <x:v>20250709</x:v>
      </x:c>
      <x:c r="B39" s="9" t="n">
        <x:v>45847</x:v>
      </x:c>
      <x:c r="C39" s="8" t="str">
        <x:v>Reassignment</x:v>
      </x:c>
      <x:c r="D39" s="8" t="n">
        <x:v>473</x:v>
      </x:c>
      <x:c r="E39" s="8" t="n">
        <x:v>2.06</x:v>
      </x:c>
    </x:row>
    <x:row r="40" ht="22" customHeight="1">
      <x:c r="A40" s="8" t="n">
        <x:v>20250710</x:v>
      </x:c>
      <x:c r="B40" s="9" t="n">
        <x:v>45848</x:v>
      </x:c>
      <x:c r="C40" s="8" t="str">
        <x:v>Reassignment</x:v>
      </x:c>
      <x:c r="D40" s="8" t="n">
        <x:v>448</x:v>
      </x:c>
      <x:c r="E40" s="8" t="n">
        <x:v>2.06</x:v>
      </x:c>
    </x:row>
    <x:row r="41" ht="22" customHeight="1">
      <x:c r="A41" s="8" t="n">
        <x:v>20250711</x:v>
      </x:c>
      <x:c r="B41" s="9" t="n">
        <x:v>45849</x:v>
      </x:c>
      <x:c r="C41" s="8" t="str">
        <x:v>Reassignment</x:v>
      </x:c>
      <x:c r="D41" s="8" t="n">
        <x:v>460</x:v>
      </x:c>
      <x:c r="E41" s="8" t="n">
        <x:v>2.06</x:v>
      </x:c>
    </x:row>
    <x:row r="42" ht="22" customHeight="1">
      <x:c r="A42" s="8" t="n">
        <x:v>20250712</x:v>
      </x:c>
      <x:c r="B42" s="9" t="n">
        <x:v>45850</x:v>
      </x:c>
      <x:c r="C42" s="8" t="str">
        <x:v>Reassignment</x:v>
      </x:c>
      <x:c r="D42" s="8" t="n">
        <x:v>440</x:v>
      </x:c>
      <x:c r="E42" s="8" t="n">
        <x:v>2.06</x:v>
      </x:c>
    </x:row>
    <x:row r="43" ht="22" customHeight="1">
      <x:c r="A43" s="8" t="n">
        <x:v>20250713</x:v>
      </x:c>
      <x:c r="B43" s="9" t="n">
        <x:v>45851</x:v>
      </x:c>
      <x:c r="C43" s="8" t="str">
        <x:v>Reassignment</x:v>
      </x:c>
      <x:c r="D43" s="8" t="n">
        <x:v>458</x:v>
      </x:c>
      <x:c r="E43" s="8" t="n">
        <x:v>2.06</x:v>
      </x:c>
    </x:row>
  </x:sheetData>
  <x:pageMargins left="0.7" right="0.7" top="0.75" bottom="0.75" header="0.3" footer="0.3"/>
  <x:tableParts count="1">
    <x:tablePart xmlns:r="http://schemas.openxmlformats.org/officeDocument/2006/relationships" r:id="Rc8f4721a7f8d40c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7" hidden="0" customWidth="1"/>
    <x:col min="11" max="11" width="17" hidden="0" customWidth="1"/>
  </x:cols>
  <x:sheetData>
    <x:row r="1" ht="22" customHeight="1">
      <x:c r="A1" s="7" t="str">
        <x:v>DateKey</x:v>
      </x:c>
      <x:c r="B1" s="7" t="str">
        <x:v>Date</x:v>
      </x:c>
      <x:c r="C1" s="7" t="str">
        <x:v>DepartmentLabel</x:v>
      </x:c>
      <x:c r="D1" s="7" t="str">
        <x:v>HomeWorkers</x:v>
      </x:c>
      <x:c r="E1" s="7" t="str">
        <x:v>ShiftHours</x:v>
      </x:c>
      <x:c r="F1" s="7" t="str">
        <x:v>MovedOutHours</x:v>
      </x:c>
      <x:c r="G1" s="7" t="str">
        <x:v>MovedInHours</x:v>
      </x:c>
      <x:c r="H1" s="7" t="str">
        <x:v>TrainingHours</x:v>
      </x:c>
      <x:c r="I1" s="7" t="str">
        <x:v>MentorHours</x:v>
      </x:c>
      <x:c r="J1" s="7" t="str">
        <x:v>RequiredEffectiveHours</x:v>
      </x:c>
      <x:c r="K1" s="7" t="str">
        <x:v>TempEfficiency</x:v>
      </x:c>
    </x:row>
    <x:row r="2" ht="22" customHeight="1">
      <x:c r="A2" s="8" t="n">
        <x:v>20250602</x:v>
      </x:c>
      <x:c r="B2" s="9" t="n">
        <x:v>45810</x:v>
      </x:c>
      <x:c r="C2" s="8" t="str">
        <x:v> delivery </x:v>
      </x:c>
      <x:c r="D2" s="23" t="n">
        <x:v>28</x:v>
      </x:c>
      <x:c r="E2" s="23" t="n">
        <x:v>7.5</x:v>
      </x:c>
      <x:c r="F2" s="23" t="n">
        <x:v>0</x:v>
      </x:c>
      <x:c r="G2" s="23" t="n">
        <x:v>0</x:v>
      </x:c>
      <x:c r="H2" s="23" t="n">
        <x:v>0</x:v>
      </x:c>
      <x:c r="I2" s="23" t="n">
        <x:v>0</x:v>
      </x:c>
      <x:c r="J2" s="23" t="n">
        <x:v>248.16326530612244</x:v>
      </x:c>
      <x:c r="K2" s="26" t="n">
        <x:v>0.45</x:v>
      </x:c>
    </x:row>
    <x:row r="3" ht="22" customHeight="1">
      <x:c r="A3" s="8" t="n">
        <x:v>20250602</x:v>
      </x:c>
      <x:c r="B3" s="9" t="n">
        <x:v>45810</x:v>
      </x:c>
      <x:c r="C3" s="8" t="str">
        <x:v>RECYCLING</x:v>
      </x:c>
      <x:c r="D3" s="23" t="n">
        <x:v>12</x:v>
      </x:c>
      <x:c r="E3" s="23" t="n">
        <x:v>7.5</x:v>
      </x:c>
      <x:c r="F3" s="23" t="n">
        <x:v>0</x:v>
      </x:c>
      <x:c r="G3" s="23" t="n">
        <x:v>0</x:v>
      </x:c>
      <x:c r="H3" s="23" t="n">
        <x:v>0</x:v>
      </x:c>
      <x:c r="I3" s="23" t="n">
        <x:v>0</x:v>
      </x:c>
      <x:c r="J3" s="23" t="n">
        <x:v>78</x:v>
      </x:c>
      <x:c r="K3" s="26" t="n">
        <x:v>1</x:v>
      </x:c>
    </x:row>
    <x:row r="4" ht="22" customHeight="1">
      <x:c r="A4" s="8" t="n">
        <x:v>20250602</x:v>
      </x:c>
      <x:c r="B4" s="9" t="n">
        <x:v>45810</x:v>
      </x:c>
      <x:c r="C4" s="8" t="str">
        <x:v>Picking</x:v>
      </x:c>
      <x:c r="D4" s="23" t="n">
        <x:v>24</x:v>
      </x:c>
      <x:c r="E4" s="23" t="n">
        <x:v>7.5</x:v>
      </x:c>
      <x:c r="F4" s="23" t="n">
        <x:v>0</x:v>
      </x:c>
      <x:c r="G4" s="23" t="n">
        <x:v>0</x:v>
      </x:c>
      <x:c r="H4" s="23" t="n">
        <x:v>0</x:v>
      </x:c>
      <x:c r="I4" s="23" t="n">
        <x:v>0</x:v>
      </x:c>
      <x:c r="J4" s="23" t="n">
        <x:v>165</x:v>
      </x:c>
      <x:c r="K4" s="26" t="n">
        <x:v>1</x:v>
      </x:c>
    </x:row>
    <x:row r="5" ht="22" customHeight="1">
      <x:c r="A5" s="8" t="n">
        <x:v>20250603</x:v>
      </x:c>
      <x:c r="B5" s="9" t="n">
        <x:v>45811</x:v>
      </x:c>
      <x:c r="C5" s="8" t="str">
        <x:v>Delivery</x:v>
      </x:c>
      <x:c r="D5" s="23" t="n">
        <x:v>28</x:v>
      </x:c>
      <x:c r="E5" s="23" t="n">
        <x:v>7.5</x:v>
      </x:c>
      <x:c r="F5" s="23" t="n">
        <x:v>0</x:v>
      </x:c>
      <x:c r="G5" s="23" t="n">
        <x:v>0</x:v>
      </x:c>
      <x:c r="H5" s="23" t="n">
        <x:v>0</x:v>
      </x:c>
      <x:c r="I5" s="23" t="n">
        <x:v>0</x:v>
      </x:c>
      <x:c r="J5" s="23" t="n">
        <x:v>245.7142857142857</x:v>
      </x:c>
      <x:c r="K5" s="26" t="n">
        <x:v>0.45</x:v>
      </x:c>
    </x:row>
    <x:row r="6" ht="22" customHeight="1">
      <x:c r="A6" s="8" t="n">
        <x:v>20250603</x:v>
      </x:c>
      <x:c r="B6" s="9" t="n">
        <x:v>45811</x:v>
      </x:c>
      <x:c r="C6" s="8" t="str">
        <x:v>Recycling</x:v>
      </x:c>
      <x:c r="D6" s="23" t="n">
        <x:v>12</x:v>
      </x:c>
      <x:c r="E6" s="23" t="n">
        <x:v>7.5</x:v>
      </x:c>
      <x:c r="F6" s="23" t="n">
        <x:v>0</x:v>
      </x:c>
      <x:c r="G6" s="23" t="n">
        <x:v>0</x:v>
      </x:c>
      <x:c r="H6" s="23" t="n">
        <x:v>0</x:v>
      </x:c>
      <x:c r="I6" s="23" t="n">
        <x:v>0</x:v>
      </x:c>
      <x:c r="J6" s="23" t="n">
        <x:v>78</x:v>
      </x:c>
      <x:c r="K6" s="26" t="n">
        <x:v>1</x:v>
      </x:c>
    </x:row>
    <x:row r="7" ht="22" customHeight="1">
      <x:c r="A7" s="8" t="n">
        <x:v>20250603</x:v>
      </x:c>
      <x:c r="B7" s="9" t="n">
        <x:v>45811</x:v>
      </x:c>
      <x:c r="C7" s="8" t="str">
        <x:v>Picking</x:v>
      </x:c>
      <x:c r="D7" s="23" t="n">
        <x:v>24</x:v>
      </x:c>
      <x:c r="E7" s="23" t="n">
        <x:v>7.5</x:v>
      </x:c>
      <x:c r="F7" s="23" t="n">
        <x:v>0</x:v>
      </x:c>
      <x:c r="G7" s="23" t="n">
        <x:v>0</x:v>
      </x:c>
      <x:c r="H7" s="23" t="n">
        <x:v>0</x:v>
      </x:c>
      <x:c r="I7" s="23" t="n">
        <x:v>0</x:v>
      </x:c>
      <x:c r="J7" s="23" t="n">
        <x:v>165</x:v>
      </x:c>
      <x:c r="K7" s="26" t="n">
        <x:v>1</x:v>
      </x:c>
    </x:row>
    <x:row r="8" ht="22" customHeight="1">
      <x:c r="A8" s="8" t="n">
        <x:v>20250604</x:v>
      </x:c>
      <x:c r="B8" s="9" t="n">
        <x:v>45812</x:v>
      </x:c>
      <x:c r="C8" s="8" t="str">
        <x:v>Delivery</x:v>
      </x:c>
      <x:c r="D8" s="23" t="n">
        <x:v>28</x:v>
      </x:c>
      <x:c r="E8" s="23" t="n">
        <x:v>7.5</x:v>
      </x:c>
      <x:c r="F8" s="23" t="n">
        <x:v>0</x:v>
      </x:c>
      <x:c r="G8" s="23" t="n">
        <x:v>0</x:v>
      </x:c>
      <x:c r="H8" s="23" t="n">
        <x:v>0</x:v>
      </x:c>
      <x:c r="I8" s="23" t="n">
        <x:v>0</x:v>
      </x:c>
      <x:c r="J8" s="23" t="n">
        <x:v>247.34693877551018</x:v>
      </x:c>
      <x:c r="K8" s="26" t="n">
        <x:v>0.45</x:v>
      </x:c>
    </x:row>
    <x:row r="9" ht="22" customHeight="1">
      <x:c r="A9" s="8" t="n">
        <x:v>20250604</x:v>
      </x:c>
      <x:c r="B9" s="9" t="n">
        <x:v>45812</x:v>
      </x:c>
      <x:c r="C9" s="8" t="str">
        <x:v>Recycling</x:v>
      </x:c>
      <x:c r="D9" s="23" t="n">
        <x:v>12</x:v>
      </x:c>
      <x:c r="E9" s="23" t="n">
        <x:v>7.5</x:v>
      </x:c>
      <x:c r="F9" s="23" t="n">
        <x:v>0</x:v>
      </x:c>
      <x:c r="G9" s="23" t="n">
        <x:v>0</x:v>
      </x:c>
      <x:c r="H9" s="23" t="n">
        <x:v>0</x:v>
      </x:c>
      <x:c r="I9" s="23" t="n">
        <x:v>0</x:v>
      </x:c>
      <x:c r="J9" s="23" t="n">
        <x:v>78</x:v>
      </x:c>
      <x:c r="K9" s="26" t="n">
        <x:v>1</x:v>
      </x:c>
    </x:row>
    <x:row r="10" ht="22" customHeight="1">
      <x:c r="A10" s="8" t="n">
        <x:v>20250604</x:v>
      </x:c>
      <x:c r="B10" s="9" t="n">
        <x:v>45812</x:v>
      </x:c>
      <x:c r="C10" s="8" t="str">
        <x:v>Picking</x:v>
      </x:c>
      <x:c r="D10" s="23" t="n">
        <x:v>24</x:v>
      </x:c>
      <x:c r="E10" s="23" t="n">
        <x:v>7.5</x:v>
      </x:c>
      <x:c r="F10" s="23" t="n">
        <x:v>0</x:v>
      </x:c>
      <x:c r="G10" s="23" t="n">
        <x:v>0</x:v>
      </x:c>
      <x:c r="H10" s="23" t="n">
        <x:v>0</x:v>
      </x:c>
      <x:c r="I10" s="23" t="n">
        <x:v>0</x:v>
      </x:c>
      <x:c r="J10" s="23" t="n">
        <x:v>165</x:v>
      </x:c>
      <x:c r="K10" s="26" t="n">
        <x:v>1</x:v>
      </x:c>
    </x:row>
    <x:row r="11" ht="22" customHeight="1">
      <x:c r="A11" s="8" t="n">
        <x:v>20250605</x:v>
      </x:c>
      <x:c r="B11" s="9" t="n">
        <x:v>45813</x:v>
      </x:c>
      <x:c r="C11" s="8" t="str">
        <x:v>Delivery</x:v>
      </x:c>
      <x:c r="D11" s="23" t="n">
        <x:v>28</x:v>
      </x:c>
      <x:c r="E11" s="23" t="n">
        <x:v>7.5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238.77551020408163</x:v>
      </x:c>
      <x:c r="K11" s="26" t="n">
        <x:v>0.45</x:v>
      </x:c>
    </x:row>
    <x:row r="12" ht="22" customHeight="1">
      <x:c r="A12" s="8" t="n">
        <x:v>20250605</x:v>
      </x:c>
      <x:c r="B12" s="9" t="n">
        <x:v>45813</x:v>
      </x:c>
      <x:c r="C12" s="8" t="str">
        <x:v>Recycling</x:v>
      </x:c>
      <x:c r="D12" s="23" t="n">
        <x:v>12</x:v>
      </x:c>
      <x:c r="E12" s="23" t="n">
        <x:v>7.5</x:v>
      </x:c>
      <x:c r="F12" s="23" t="n">
        <x:v>0</x:v>
      </x:c>
      <x:c r="G12" s="23" t="n">
        <x:v>0</x:v>
      </x:c>
      <x:c r="H12" s="23" t="n">
        <x:v>0</x:v>
      </x:c>
      <x:c r="I12" s="23" t="n">
        <x:v>0</x:v>
      </x:c>
      <x:c r="J12" s="23" t="n">
        <x:v>78</x:v>
      </x:c>
      <x:c r="K12" s="26" t="n">
        <x:v>1</x:v>
      </x:c>
    </x:row>
    <x:row r="13" ht="22" customHeight="1">
      <x:c r="A13" s="8" t="n">
        <x:v>20250605</x:v>
      </x:c>
      <x:c r="B13" s="9" t="n">
        <x:v>45813</x:v>
      </x:c>
      <x:c r="C13" s="8" t="str">
        <x:v>Picking</x:v>
      </x:c>
      <x:c r="D13" s="23" t="n">
        <x:v>24</x:v>
      </x:c>
      <x:c r="E13" s="23" t="n">
        <x:v>7.5</x:v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165</x:v>
      </x:c>
      <x:c r="K13" s="26" t="n">
        <x:v>1</x:v>
      </x:c>
    </x:row>
    <x:row r="14" ht="22" customHeight="1">
      <x:c r="A14" s="8" t="n">
        <x:v>20250606</x:v>
      </x:c>
      <x:c r="B14" s="9" t="n">
        <x:v>45814</x:v>
      </x:c>
      <x:c r="C14" s="8" t="str">
        <x:v>Delivery</x:v>
      </x:c>
      <x:c r="D14" s="23" t="n">
        <x:v>28</x:v>
      </x:c>
      <x:c r="E14" s="23" t="n">
        <x:v>7.5</x:v>
      </x:c>
      <x:c r="F14" s="23" t="n">
        <x:v>0</x:v>
      </x:c>
      <x:c r="G14" s="23" t="n">
        <x:v>0</x:v>
      </x:c>
      <x:c r="H14" s="23" t="n">
        <x:v>0</x:v>
      </x:c>
      <x:c r="I14" s="23" t="n">
        <x:v>0</x:v>
      </x:c>
      <x:c r="J14" s="23" t="n">
        <x:v>235.1020408163265</x:v>
      </x:c>
      <x:c r="K14" s="26" t="n">
        <x:v>0.45</x:v>
      </x:c>
    </x:row>
    <x:row r="15" ht="22" customHeight="1">
      <x:c r="A15" s="8" t="n">
        <x:v>20250606</x:v>
      </x:c>
      <x:c r="B15" s="9" t="n">
        <x:v>45814</x:v>
      </x:c>
      <x:c r="C15" s="8" t="str">
        <x:v>Recycling</x:v>
      </x:c>
      <x:c r="D15" s="23" t="n">
        <x:v>12</x:v>
      </x:c>
      <x:c r="E15" s="23" t="n">
        <x:v>7.5</x:v>
      </x:c>
      <x:c r="F15" s="23" t="n">
        <x:v>0</x:v>
      </x:c>
      <x:c r="G15" s="23" t="n">
        <x:v>0</x:v>
      </x:c>
      <x:c r="H15" s="23" t="n">
        <x:v>0</x:v>
      </x:c>
      <x:c r="I15" s="23" t="n">
        <x:v>0</x:v>
      </x:c>
      <x:c r="J15" s="23" t="n">
        <x:v>78</x:v>
      </x:c>
      <x:c r="K15" s="26" t="n">
        <x:v>1</x:v>
      </x:c>
    </x:row>
    <x:row r="16" ht="22" customHeight="1">
      <x:c r="A16" s="8" t="n">
        <x:v>20250606</x:v>
      </x:c>
      <x:c r="B16" s="9" t="n">
        <x:v>45814</x:v>
      </x:c>
      <x:c r="C16" s="8" t="str">
        <x:v>Picking</x:v>
      </x:c>
      <x:c r="D16" s="23" t="n">
        <x:v>24</x:v>
      </x:c>
      <x:c r="E16" s="23" t="n">
        <x:v>7.5</x:v>
      </x:c>
      <x:c r="F16" s="23" t="n">
        <x:v>0</x:v>
      </x:c>
      <x:c r="G16" s="23" t="n">
        <x:v>0</x:v>
      </x:c>
      <x:c r="H16" s="23" t="n">
        <x:v>0</x:v>
      </x:c>
      <x:c r="I16" s="23" t="n">
        <x:v>0</x:v>
      </x:c>
      <x:c r="J16" s="23" t="n">
        <x:v>165</x:v>
      </x:c>
      <x:c r="K16" s="26" t="n">
        <x:v>1</x:v>
      </x:c>
    </x:row>
    <x:row r="17" ht="22" customHeight="1">
      <x:c r="A17" s="8" t="n">
        <x:v>20250607</x:v>
      </x:c>
      <x:c r="B17" s="9" t="n">
        <x:v>45815</x:v>
      </x:c>
      <x:c r="C17" s="8" t="str">
        <x:v>Delivery</x:v>
      </x:c>
      <x:c r="D17" s="23" t="n">
        <x:v>28</x:v>
      </x:c>
      <x:c r="E17" s="23" t="n">
        <x:v>7.5</x:v>
      </x:c>
      <x:c r="F17" s="23" t="n">
        <x:v>0</x:v>
      </x:c>
      <x:c r="G17" s="23" t="n">
        <x:v>0</x:v>
      </x:c>
      <x:c r="H17" s="23" t="n">
        <x:v>0</x:v>
      </x:c>
      <x:c r="I17" s="23" t="n">
        <x:v>0</x:v>
      </x:c>
      <x:c r="J17" s="23" t="n">
        <x:v>223.26530612244898</x:v>
      </x:c>
      <x:c r="K17" s="26" t="n">
        <x:v>0.45</x:v>
      </x:c>
    </x:row>
    <x:row r="18" ht="22" customHeight="1">
      <x:c r="A18" s="8" t="n">
        <x:v>20250607</x:v>
      </x:c>
      <x:c r="B18" s="9" t="n">
        <x:v>45815</x:v>
      </x:c>
      <x:c r="C18" s="8" t="str">
        <x:v>Recycling</x:v>
      </x:c>
      <x:c r="D18" s="23" t="n">
        <x:v>12</x:v>
      </x:c>
      <x:c r="E18" s="23" t="n">
        <x:v>7.5</x:v>
      </x:c>
      <x:c r="F18" s="23" t="n">
        <x:v>0</x:v>
      </x:c>
      <x:c r="G18" s="23" t="n">
        <x:v>0</x:v>
      </x:c>
      <x:c r="H18" s="23" t="n">
        <x:v>0</x:v>
      </x:c>
      <x:c r="I18" s="23" t="n">
        <x:v>0</x:v>
      </x:c>
      <x:c r="J18" s="23" t="n">
        <x:v>78</x:v>
      </x:c>
      <x:c r="K18" s="26" t="n">
        <x:v>1</x:v>
      </x:c>
    </x:row>
    <x:row r="19" ht="22" customHeight="1">
      <x:c r="A19" s="8" t="n">
        <x:v>20250607</x:v>
      </x:c>
      <x:c r="B19" s="9" t="n">
        <x:v>45815</x:v>
      </x:c>
      <x:c r="C19" s="8" t="str">
        <x:v>Picking</x:v>
      </x:c>
      <x:c r="D19" s="23" t="n">
        <x:v>24</x:v>
      </x:c>
      <x:c r="E19" s="23" t="n">
        <x:v>7.5</x:v>
      </x:c>
      <x:c r="F19" s="23" t="n">
        <x:v>0</x:v>
      </x:c>
      <x:c r="G19" s="23" t="n">
        <x:v>0</x:v>
      </x:c>
      <x:c r="H19" s="23" t="n">
        <x:v>0</x:v>
      </x:c>
      <x:c r="I19" s="23" t="n">
        <x:v>0</x:v>
      </x:c>
      <x:c r="J19" s="23" t="n">
        <x:v>165</x:v>
      </x:c>
      <x:c r="K19" s="26" t="n">
        <x:v>1</x:v>
      </x:c>
    </x:row>
    <x:row r="20" ht="22" customHeight="1">
      <x:c r="A20" s="8" t="n">
        <x:v>20250608</x:v>
      </x:c>
      <x:c r="B20" s="9" t="n">
        <x:v>45816</x:v>
      </x:c>
      <x:c r="C20" s="8" t="str">
        <x:v>Delivery</x:v>
      </x:c>
      <x:c r="D20" s="23" t="n">
        <x:v>28</x:v>
      </x:c>
      <x:c r="E20" s="23" t="n">
        <x:v>7.5</x:v>
      </x:c>
      <x:c r="F20" s="23" t="n">
        <x:v>0</x:v>
      </x:c>
      <x:c r="G20" s="23" t="n">
        <x:v>0</x:v>
      </x:c>
      <x:c r="H20" s="23" t="n">
        <x:v>0</x:v>
      </x:c>
      <x:c r="I20" s="23" t="n">
        <x:v>0</x:v>
      </x:c>
      <x:c r="J20" s="23" t="n">
        <x:v>218.77551020408163</x:v>
      </x:c>
      <x:c r="K20" s="26" t="n">
        <x:v>0.45</x:v>
      </x:c>
    </x:row>
    <x:row r="21" ht="22" customHeight="1">
      <x:c r="A21" s="8" t="n">
        <x:v>20250608</x:v>
      </x:c>
      <x:c r="B21" s="9" t="n">
        <x:v>45816</x:v>
      </x:c>
      <x:c r="C21" s="8" t="str">
        <x:v>Recycling</x:v>
      </x:c>
      <x:c r="D21" s="23" t="n">
        <x:v>12</x:v>
      </x:c>
      <x:c r="E21" s="23" t="n">
        <x:v>7.5</x:v>
      </x:c>
      <x:c r="F21" s="23" t="n">
        <x:v>0</x:v>
      </x:c>
      <x:c r="G21" s="23" t="n">
        <x:v>0</x:v>
      </x:c>
      <x:c r="H21" s="23" t="n">
        <x:v>0</x:v>
      </x:c>
      <x:c r="I21" s="23" t="n">
        <x:v>0</x:v>
      </x:c>
      <x:c r="J21" s="23" t="n">
        <x:v>78</x:v>
      </x:c>
      <x:c r="K21" s="26" t="n">
        <x:v>1</x:v>
      </x:c>
    </x:row>
    <x:row r="22" ht="22" customHeight="1">
      <x:c r="A22" s="8" t="n">
        <x:v>20250608</x:v>
      </x:c>
      <x:c r="B22" s="9" t="n">
        <x:v>45816</x:v>
      </x:c>
      <x:c r="C22" s="8" t="str">
        <x:v>Picking</x:v>
      </x:c>
      <x:c r="D22" s="23" t="n">
        <x:v>24</x:v>
      </x:c>
      <x:c r="E22" s="23" t="n">
        <x:v>7.5</x:v>
      </x:c>
      <x:c r="F22" s="23" t="n">
        <x:v>0</x:v>
      </x:c>
      <x:c r="G22" s="23" t="n">
        <x:v>0</x:v>
      </x:c>
      <x:c r="H22" s="23" t="n">
        <x:v>0</x:v>
      </x:c>
      <x:c r="I22" s="23" t="n">
        <x:v>0</x:v>
      </x:c>
      <x:c r="J22" s="23" t="n">
        <x:v>165</x:v>
      </x:c>
      <x:c r="K22" s="26" t="n">
        <x:v>1</x:v>
      </x:c>
    </x:row>
    <x:row r="23" ht="22" customHeight="1">
      <x:c r="A23" s="8" t="n">
        <x:v>20250609</x:v>
      </x:c>
      <x:c r="B23" s="9" t="n">
        <x:v>45817</x:v>
      </x:c>
      <x:c r="C23" s="8" t="str">
        <x:v>Delivery</x:v>
      </x:c>
      <x:c r="D23" s="23" t="n">
        <x:v>28</x:v>
      </x:c>
      <x:c r="E23" s="23" t="n">
        <x:v>7.5</x:v>
      </x:c>
      <x:c r="F23" s="23" t="n">
        <x:v>0</x:v>
      </x:c>
      <x:c r="G23" s="23" t="n">
        <x:v>0</x:v>
      </x:c>
      <x:c r="H23" s="23" t="n">
        <x:v>0</x:v>
      </x:c>
      <x:c r="I23" s="23" t="n">
        <x:v>0</x:v>
      </x:c>
      <x:c r="J23" s="23" t="n">
        <x:v>244.6808510638298</x:v>
      </x:c>
      <x:c r="K23" s="26" t="n">
        <x:v>0.45</x:v>
      </x:c>
    </x:row>
    <x:row r="24" ht="22" customHeight="1">
      <x:c r="A24" s="8" t="n">
        <x:v>20250609</x:v>
      </x:c>
      <x:c r="B24" s="9" t="n">
        <x:v>45817</x:v>
      </x:c>
      <x:c r="C24" s="8" t="str">
        <x:v>Recycling</x:v>
      </x:c>
      <x:c r="D24" s="23" t="n">
        <x:v>12</x:v>
      </x:c>
      <x:c r="E24" s="23" t="n">
        <x:v>7.5</x:v>
      </x:c>
      <x:c r="F24" s="23" t="n">
        <x:v>0</x:v>
      </x:c>
      <x:c r="G24" s="23" t="n">
        <x:v>0</x:v>
      </x:c>
      <x:c r="H24" s="23" t="n">
        <x:v>0</x:v>
      </x:c>
      <x:c r="I24" s="23" t="n">
        <x:v>0</x:v>
      </x:c>
      <x:c r="J24" s="23" t="n">
        <x:v>40</x:v>
      </x:c>
      <x:c r="K24" s="26" t="n">
        <x:v>1</x:v>
      </x:c>
    </x:row>
    <x:row r="25" ht="22" customHeight="1">
      <x:c r="A25" s="8" t="n">
        <x:v>20250609</x:v>
      </x:c>
      <x:c r="B25" s="9" t="n">
        <x:v>45817</x:v>
      </x:c>
      <x:c r="C25" s="8" t="str">
        <x:v>Picking</x:v>
      </x:c>
      <x:c r="D25" s="23" t="n">
        <x:v>24</x:v>
      </x:c>
      <x:c r="E25" s="23" t="n">
        <x:v>7.5</x:v>
      </x:c>
      <x:c r="F25" s="23" t="n">
        <x:v>0</x:v>
      </x:c>
      <x:c r="G25" s="23" t="n">
        <x:v>0</x:v>
      </x:c>
      <x:c r="H25" s="23" t="n">
        <x:v>0</x:v>
      </x:c>
      <x:c r="I25" s="23" t="n">
        <x:v>0</x:v>
      </x:c>
      <x:c r="J25" s="23" t="n">
        <x:v>154</x:v>
      </x:c>
      <x:c r="K25" s="26" t="n">
        <x:v>1</x:v>
      </x:c>
    </x:row>
    <x:row r="26" ht="22" customHeight="1">
      <x:c r="A26" s="8" t="n">
        <x:v>20250610</x:v>
      </x:c>
      <x:c r="B26" s="9" t="n">
        <x:v>45818</x:v>
      </x:c>
      <x:c r="C26" s="8" t="str">
        <x:v>Delivery</x:v>
      </x:c>
      <x:c r="D26" s="23" t="n">
        <x:v>28</x:v>
      </x:c>
      <x:c r="E26" s="23" t="n">
        <x:v>7.5</x:v>
      </x:c>
      <x:c r="F26" s="23" t="n">
        <x:v>0</x:v>
      </x:c>
      <x:c r="G26" s="23" t="n">
        <x:v>0</x:v>
      </x:c>
      <x:c r="H26" s="23" t="n">
        <x:v>0</x:v>
      </x:c>
      <x:c r="I26" s="23" t="n">
        <x:v>0</x:v>
      </x:c>
      <x:c r="J26" s="23" t="n">
        <x:v>278.72340425531917</x:v>
      </x:c>
      <x:c r="K26" s="26" t="n">
        <x:v>0.45</x:v>
      </x:c>
    </x:row>
    <x:row r="27" ht="22" customHeight="1">
      <x:c r="A27" s="8" t="n">
        <x:v>20250610</x:v>
      </x:c>
      <x:c r="B27" s="9" t="n">
        <x:v>45818</x:v>
      </x:c>
      <x:c r="C27" s="8" t="str">
        <x:v>Recycling</x:v>
      </x:c>
      <x:c r="D27" s="23" t="n">
        <x:v>12</x:v>
      </x:c>
      <x:c r="E27" s="23" t="n">
        <x:v>7.5</x:v>
      </x:c>
      <x:c r="F27" s="23" t="n">
        <x:v>0</x:v>
      </x:c>
      <x:c r="G27" s="23" t="n">
        <x:v>0</x:v>
      </x:c>
      <x:c r="H27" s="23" t="n">
        <x:v>0</x:v>
      </x:c>
      <x:c r="I27" s="23" t="n">
        <x:v>0</x:v>
      </x:c>
      <x:c r="J27" s="23" t="n">
        <x:v>40</x:v>
      </x:c>
      <x:c r="K27" s="26" t="n">
        <x:v>1</x:v>
      </x:c>
    </x:row>
    <x:row r="28" ht="22" customHeight="1">
      <x:c r="A28" s="8" t="n">
        <x:v>20250610</x:v>
      </x:c>
      <x:c r="B28" s="9" t="n">
        <x:v>45818</x:v>
      </x:c>
      <x:c r="C28" s="8" t="str">
        <x:v>Picking</x:v>
      </x:c>
      <x:c r="D28" s="23" t="n">
        <x:v>24</x:v>
      </x:c>
      <x:c r="E28" s="23" t="n">
        <x:v>7.5</x:v>
      </x:c>
      <x:c r="F28" s="23" t="n">
        <x:v>0</x:v>
      </x:c>
      <x:c r="G28" s="23" t="n">
        <x:v>0</x:v>
      </x:c>
      <x:c r="H28" s="23" t="n">
        <x:v>0</x:v>
      </x:c>
      <x:c r="I28" s="23" t="n">
        <x:v>0</x:v>
      </x:c>
      <x:c r="J28" s="23" t="n">
        <x:v>154</x:v>
      </x:c>
      <x:c r="K28" s="26" t="n">
        <x:v>1</x:v>
      </x:c>
    </x:row>
    <x:row r="29" ht="22" customHeight="1">
      <x:c r="A29" s="8" t="n">
        <x:v>20250611</x:v>
      </x:c>
      <x:c r="B29" s="9" t="n">
        <x:v>45819</x:v>
      </x:c>
      <x:c r="C29" s="8" t="str">
        <x:v>Delivery</x:v>
      </x:c>
      <x:c r="D29" s="23" t="n">
        <x:v>28</x:v>
      </x:c>
      <x:c r="E29" s="23" t="n">
        <x:v>7.5</x:v>
      </x:c>
      <x:c r="F29" s="23" t="n">
        <x:v>0</x:v>
      </x:c>
      <x:c r="G29" s="23" t="n">
        <x:v>0</x:v>
      </x:c>
      <x:c r="H29" s="23" t="n">
        <x:v>0</x:v>
      </x:c>
      <x:c r="I29" s="23" t="n">
        <x:v>0</x:v>
      </x:c>
      <x:c r="J29" s="23" t="n">
        <x:v>318.0851063829787</x:v>
      </x:c>
      <x:c r="K29" s="26" t="n">
        <x:v>0.45</x:v>
      </x:c>
    </x:row>
    <x:row r="30" ht="22" customHeight="1">
      <x:c r="A30" s="8" t="n">
        <x:v>20250611</x:v>
      </x:c>
      <x:c r="B30" s="9" t="n">
        <x:v>45819</x:v>
      </x:c>
      <x:c r="C30" s="8" t="str">
        <x:v>RECYCLING</x:v>
      </x:c>
      <x:c r="D30" s="23" t="n">
        <x:v>12</x:v>
      </x:c>
      <x:c r="E30" s="23" t="n">
        <x:v>7.5</x:v>
      </x:c>
      <x:c r="F30" s="23" t="n">
        <x:v>0</x:v>
      </x:c>
      <x:c r="G30" s="23" t="n">
        <x:v>0</x:v>
      </x:c>
      <x:c r="H30" s="23" t="n">
        <x:v>0</x:v>
      </x:c>
      <x:c r="I30" s="23" t="n">
        <x:v>0</x:v>
      </x:c>
      <x:c r="J30" s="23" t="n">
        <x:v>40</x:v>
      </x:c>
      <x:c r="K30" s="26" t="n">
        <x:v>1</x:v>
      </x:c>
    </x:row>
    <x:row r="31" ht="22" customHeight="1">
      <x:c r="A31" s="8" t="n">
        <x:v>20250611</x:v>
      </x:c>
      <x:c r="B31" s="9" t="n">
        <x:v>45819</x:v>
      </x:c>
      <x:c r="C31" s="8" t="str">
        <x:v>Picking</x:v>
      </x:c>
      <x:c r="D31" s="23" t="n">
        <x:v>24</x:v>
      </x:c>
      <x:c r="E31" s="23" t="n">
        <x:v>7.5</x:v>
      </x:c>
      <x:c r="F31" s="23" t="n">
        <x:v>0</x:v>
      </x:c>
      <x:c r="G31" s="23" t="n">
        <x:v>0</x:v>
      </x:c>
      <x:c r="H31" s="23" t="n">
        <x:v>0</x:v>
      </x:c>
      <x:c r="I31" s="23" t="n">
        <x:v>0</x:v>
      </x:c>
      <x:c r="J31" s="23" t="n">
        <x:v>154</x:v>
      </x:c>
      <x:c r="K31" s="26" t="n">
        <x:v>1</x:v>
      </x:c>
    </x:row>
    <x:row r="32" ht="22" customHeight="1">
      <x:c r="A32" s="8" t="n">
        <x:v>20250612</x:v>
      </x:c>
      <x:c r="B32" s="9" t="n">
        <x:v>45820</x:v>
      </x:c>
      <x:c r="C32" s="8" t="str">
        <x:v>Delivery</x:v>
      </x:c>
      <x:c r="D32" s="23" t="n">
        <x:v>28</x:v>
      </x:c>
      <x:c r="E32" s="23" t="n">
        <x:v>7.5</x:v>
      </x:c>
      <x:c r="F32" s="23" t="n">
        <x:v>0</x:v>
      </x:c>
      <x:c r="G32" s="23" t="n">
        <x:v>0</x:v>
      </x:c>
      <x:c r="H32" s="23" t="n">
        <x:v>0</x:v>
      </x:c>
      <x:c r="I32" s="23" t="n">
        <x:v>0</x:v>
      </x:c>
      <x:c r="J32" s="23" t="n">
        <x:v>344.1489361702128</x:v>
      </x:c>
      <x:c r="K32" s="26" t="n">
        <x:v>0.45</x:v>
      </x:c>
    </x:row>
    <x:row r="33" ht="22" customHeight="1">
      <x:c r="A33" s="8" t="n">
        <x:v>20250612</x:v>
      </x:c>
      <x:c r="B33" s="9" t="n">
        <x:v>45820</x:v>
      </x:c>
      <x:c r="C33" s="8" t="str">
        <x:v>Recycling</x:v>
      </x:c>
      <x:c r="D33" s="23" t="n">
        <x:v>12</x:v>
      </x:c>
      <x:c r="E33" s="23" t="n">
        <x:v>7.5</x:v>
      </x:c>
      <x:c r="F33" s="23" t="n">
        <x:v>0</x:v>
      </x:c>
      <x:c r="G33" s="23" t="n">
        <x:v>0</x:v>
      </x:c>
      <x:c r="H33" s="23" t="n">
        <x:v>0</x:v>
      </x:c>
      <x:c r="I33" s="23" t="n">
        <x:v>0</x:v>
      </x:c>
      <x:c r="J33" s="23" t="n">
        <x:v>40</x:v>
      </x:c>
      <x:c r="K33" s="26" t="n">
        <x:v>1</x:v>
      </x:c>
    </x:row>
    <x:row r="34" ht="22" customHeight="1">
      <x:c r="A34" s="8" t="n">
        <x:v>20250612</x:v>
      </x:c>
      <x:c r="B34" s="9" t="n">
        <x:v>45820</x:v>
      </x:c>
      <x:c r="C34" s="8" t="str">
        <x:v>Picking</x:v>
      </x:c>
      <x:c r="D34" s="23" t="n">
        <x:v>24</x:v>
      </x:c>
      <x:c r="E34" s="23" t="n">
        <x:v>7.5</x:v>
      </x:c>
      <x:c r="F34" s="23" t="n">
        <x:v>0</x:v>
      </x:c>
      <x:c r="G34" s="23" t="n">
        <x:v>0</x:v>
      </x:c>
      <x:c r="H34" s="23" t="n">
        <x:v>0</x:v>
      </x:c>
      <x:c r="I34" s="23" t="n">
        <x:v>0</x:v>
      </x:c>
      <x:c r="J34" s="23" t="n">
        <x:v>154</x:v>
      </x:c>
      <x:c r="K34" s="26" t="n">
        <x:v>1</x:v>
      </x:c>
    </x:row>
    <x:row r="35" ht="22" customHeight="1">
      <x:c r="A35" s="8" t="n">
        <x:v>20250613</x:v>
      </x:c>
      <x:c r="B35" s="9" t="n">
        <x:v>45821</x:v>
      </x:c>
      <x:c r="C35" s="8" t="str">
        <x:v> delivery </x:v>
      </x:c>
      <x:c r="D35" s="23" t="n">
        <x:v>28</x:v>
      </x:c>
      <x:c r="E35" s="23" t="n">
        <x:v>7.5</x:v>
      </x:c>
      <x:c r="F35" s="23" t="n">
        <x:v>0</x:v>
      </x:c>
      <x:c r="G35" s="23" t="n">
        <x:v>0</x:v>
      </x:c>
      <x:c r="H35" s="23" t="n">
        <x:v>0</x:v>
      </x:c>
      <x:c r="I35" s="23" t="n">
        <x:v>0</x:v>
      </x:c>
      <x:c r="J35" s="23" t="n">
        <x:v>376.5957446808511</x:v>
      </x:c>
      <x:c r="K35" s="26" t="n">
        <x:v>0.45</x:v>
      </x:c>
    </x:row>
    <x:row r="36" ht="22" customHeight="1">
      <x:c r="A36" s="8" t="n">
        <x:v>20250613</x:v>
      </x:c>
      <x:c r="B36" s="9" t="n">
        <x:v>45821</x:v>
      </x:c>
      <x:c r="C36" s="8" t="str">
        <x:v>Recycling</x:v>
      </x:c>
      <x:c r="D36" s="23" t="n">
        <x:v>12</x:v>
      </x:c>
      <x:c r="E36" s="23" t="n">
        <x:v>7.5</x:v>
      </x:c>
      <x:c r="F36" s="23" t="n">
        <x:v>0</x:v>
      </x:c>
      <x:c r="G36" s="23" t="n">
        <x:v>0</x:v>
      </x:c>
      <x:c r="H36" s="23" t="n">
        <x:v>0</x:v>
      </x:c>
      <x:c r="I36" s="23" t="n">
        <x:v>0</x:v>
      </x:c>
      <x:c r="J36" s="23" t="n">
        <x:v>40</x:v>
      </x:c>
      <x:c r="K36" s="26" t="n">
        <x:v>1</x:v>
      </x:c>
    </x:row>
    <x:row r="37" ht="22" customHeight="1">
      <x:c r="A37" s="8" t="n">
        <x:v>20250613</x:v>
      </x:c>
      <x:c r="B37" s="9" t="n">
        <x:v>45821</x:v>
      </x:c>
      <x:c r="C37" s="8" t="str">
        <x:v>Picking</x:v>
      </x:c>
      <x:c r="D37" s="23" t="n">
        <x:v>24</x:v>
      </x:c>
      <x:c r="E37" s="23" t="n">
        <x:v>7.5</x:v>
      </x:c>
      <x:c r="F37" s="23" t="n">
        <x:v>0</x:v>
      </x:c>
      <x:c r="G37" s="23" t="n">
        <x:v>0</x:v>
      </x:c>
      <x:c r="H37" s="23" t="n">
        <x:v>0</x:v>
      </x:c>
      <x:c r="I37" s="23" t="n">
        <x:v>0</x:v>
      </x:c>
      <x:c r="J37" s="23" t="n">
        <x:v>154</x:v>
      </x:c>
      <x:c r="K37" s="26" t="n">
        <x:v>1</x:v>
      </x:c>
    </x:row>
    <x:row r="38" ht="22" customHeight="1">
      <x:c r="A38" s="8" t="n">
        <x:v>20250614</x:v>
      </x:c>
      <x:c r="B38" s="9" t="n">
        <x:v>45822</x:v>
      </x:c>
      <x:c r="C38" s="8" t="str">
        <x:v>Delivery</x:v>
      </x:c>
      <x:c r="D38" s="23" t="n">
        <x:v>28</x:v>
      </x:c>
      <x:c r="E38" s="23" t="n">
        <x:v>7.5</x:v>
      </x:c>
      <x:c r="F38" s="23" t="n">
        <x:v>0</x:v>
      </x:c>
      <x:c r="G38" s="23" t="n">
        <x:v>0</x:v>
      </x:c>
      <x:c r="H38" s="23" t="n">
        <x:v>0</x:v>
      </x:c>
      <x:c r="I38" s="23" t="n">
        <x:v>0</x:v>
      </x:c>
      <x:c r="J38" s="23" t="n">
        <x:v>398.40425531914894</x:v>
      </x:c>
      <x:c r="K38" s="26" t="n">
        <x:v>0.45</x:v>
      </x:c>
    </x:row>
    <x:row r="39" ht="22" customHeight="1">
      <x:c r="A39" s="8" t="n">
        <x:v>20250614</x:v>
      </x:c>
      <x:c r="B39" s="9" t="n">
        <x:v>45822</x:v>
      </x:c>
      <x:c r="C39" s="8" t="str">
        <x:v>Recycling</x:v>
      </x:c>
      <x:c r="D39" s="23" t="n">
        <x:v>12</x:v>
      </x:c>
      <x:c r="E39" s="23" t="n">
        <x:v>7.5</x:v>
      </x:c>
      <x:c r="F39" s="23" t="n">
        <x:v>0</x:v>
      </x:c>
      <x:c r="G39" s="23" t="n">
        <x:v>0</x:v>
      </x:c>
      <x:c r="H39" s="23" t="n">
        <x:v>0</x:v>
      </x:c>
      <x:c r="I39" s="23" t="n">
        <x:v>0</x:v>
      </x:c>
      <x:c r="J39" s="23" t="n">
        <x:v>40</x:v>
      </x:c>
      <x:c r="K39" s="26" t="n">
        <x:v>1</x:v>
      </x:c>
    </x:row>
    <x:row r="40" ht="22" customHeight="1">
      <x:c r="A40" s="8" t="n">
        <x:v>20250614</x:v>
      </x:c>
      <x:c r="B40" s="9" t="n">
        <x:v>45822</x:v>
      </x:c>
      <x:c r="C40" s="8" t="str">
        <x:v>Picking</x:v>
      </x:c>
      <x:c r="D40" s="23" t="n">
        <x:v>24</x:v>
      </x:c>
      <x:c r="E40" s="23" t="n">
        <x:v>7.5</x:v>
      </x:c>
      <x:c r="F40" s="23" t="n">
        <x:v>0</x:v>
      </x:c>
      <x:c r="G40" s="23" t="n">
        <x:v>0</x:v>
      </x:c>
      <x:c r="H40" s="23" t="n">
        <x:v>0</x:v>
      </x:c>
      <x:c r="I40" s="23" t="n">
        <x:v>0</x:v>
      </x:c>
      <x:c r="J40" s="23" t="n">
        <x:v>154</x:v>
      </x:c>
      <x:c r="K40" s="26" t="n">
        <x:v>1</x:v>
      </x:c>
    </x:row>
    <x:row r="41" ht="22" customHeight="1">
      <x:c r="A41" s="8" t="n">
        <x:v>20250615</x:v>
      </x:c>
      <x:c r="B41" s="9" t="n">
        <x:v>45823</x:v>
      </x:c>
      <x:c r="C41" s="8" t="str">
        <x:v>Delivery</x:v>
      </x:c>
      <x:c r="D41" s="23" t="n">
        <x:v>28</x:v>
      </x:c>
      <x:c r="E41" s="23" t="n">
        <x:v>7.5</x:v>
      </x:c>
      <x:c r="F41" s="23" t="n">
        <x:v>0</x:v>
      </x:c>
      <x:c r="G41" s="23" t="n">
        <x:v>0</x:v>
      </x:c>
      <x:c r="H41" s="23" t="n">
        <x:v>0</x:v>
      </x:c>
      <x:c r="I41" s="23" t="n">
        <x:v>0</x:v>
      </x:c>
      <x:c r="J41" s="23" t="n">
        <x:v>429.7872340425532</x:v>
      </x:c>
      <x:c r="K41" s="26" t="n">
        <x:v>0.45</x:v>
      </x:c>
    </x:row>
    <x:row r="42" ht="22" customHeight="1">
      <x:c r="A42" s="8" t="n">
        <x:v>20250615</x:v>
      </x:c>
      <x:c r="B42" s="9" t="n">
        <x:v>45823</x:v>
      </x:c>
      <x:c r="C42" s="8" t="str">
        <x:v>Recycling</x:v>
      </x:c>
      <x:c r="D42" s="23" t="n">
        <x:v>12</x:v>
      </x:c>
      <x:c r="E42" s="23" t="n">
        <x:v>7.5</x:v>
      </x:c>
      <x:c r="F42" s="23" t="n">
        <x:v>0</x:v>
      </x:c>
      <x:c r="G42" s="23" t="n">
        <x:v>0</x:v>
      </x:c>
      <x:c r="H42" s="23" t="n">
        <x:v>0</x:v>
      </x:c>
      <x:c r="I42" s="23" t="n">
        <x:v>0</x:v>
      </x:c>
      <x:c r="J42" s="23" t="n">
        <x:v>40</x:v>
      </x:c>
      <x:c r="K42" s="26" t="n">
        <x:v>1</x:v>
      </x:c>
    </x:row>
    <x:row r="43" ht="22" customHeight="1">
      <x:c r="A43" s="8" t="n">
        <x:v>20250615</x:v>
      </x:c>
      <x:c r="B43" s="9" t="n">
        <x:v>45823</x:v>
      </x:c>
      <x:c r="C43" s="8" t="str">
        <x:v>Picking</x:v>
      </x:c>
      <x:c r="D43" s="23" t="n">
        <x:v>24</x:v>
      </x:c>
      <x:c r="E43" s="23" t="n">
        <x:v>7.5</x:v>
      </x:c>
      <x:c r="F43" s="23" t="n">
        <x:v>0</x:v>
      </x:c>
      <x:c r="G43" s="23" t="n">
        <x:v>0</x:v>
      </x:c>
      <x:c r="H43" s="23" t="n">
        <x:v>0</x:v>
      </x:c>
      <x:c r="I43" s="23" t="n">
        <x:v>0</x:v>
      </x:c>
      <x:c r="J43" s="23" t="n">
        <x:v>154</x:v>
      </x:c>
      <x:c r="K43" s="26" t="n">
        <x:v>1</x:v>
      </x:c>
    </x:row>
    <x:row r="44" ht="22" customHeight="1">
      <x:c r="A44" s="8" t="n">
        <x:v>20250616</x:v>
      </x:c>
      <x:c r="B44" s="9" t="n">
        <x:v>45824</x:v>
      </x:c>
      <x:c r="C44" s="8" t="str">
        <x:v>Delivery</x:v>
      </x:c>
      <x:c r="D44" s="23" t="n">
        <x:v>28</x:v>
      </x:c>
      <x:c r="E44" s="23" t="n">
        <x:v>7.5</x:v>
      </x:c>
      <x:c r="F44" s="23" t="n">
        <x:v>0</x:v>
      </x:c>
      <x:c r="G44" s="23" t="n">
        <x:v>0</x:v>
      </x:c>
      <x:c r="H44" s="23" t="n">
        <x:v>0</x:v>
      </x:c>
      <x:c r="I44" s="23" t="n">
        <x:v>0</x:v>
      </x:c>
      <x:c r="J44" s="23" t="n">
        <x:v>453.19148936170217</x:v>
      </x:c>
      <x:c r="K44" s="26" t="n">
        <x:v>0.45</x:v>
      </x:c>
    </x:row>
    <x:row r="45" ht="22" customHeight="1">
      <x:c r="A45" s="8" t="n">
        <x:v>20250616</x:v>
      </x:c>
      <x:c r="B45" s="9" t="n">
        <x:v>45824</x:v>
      </x:c>
      <x:c r="C45" s="8" t="str">
        <x:v>Recycling</x:v>
      </x:c>
      <x:c r="D45" s="23" t="n">
        <x:v>12</x:v>
      </x:c>
      <x:c r="E45" s="23" t="n">
        <x:v>7.5</x:v>
      </x:c>
      <x:c r="F45" s="23" t="n">
        <x:v>0</x:v>
      </x:c>
      <x:c r="G45" s="23" t="n">
        <x:v>0</x:v>
      </x:c>
      <x:c r="H45" s="23" t="n">
        <x:v>0</x:v>
      </x:c>
      <x:c r="I45" s="23" t="n">
        <x:v>0</x:v>
      </x:c>
      <x:c r="J45" s="23" t="n">
        <x:v>40</x:v>
      </x:c>
      <x:c r="K45" s="26" t="n">
        <x:v>1</x:v>
      </x:c>
    </x:row>
    <x:row r="46" ht="22" customHeight="1">
      <x:c r="A46" s="8" t="n">
        <x:v>20250616</x:v>
      </x:c>
      <x:c r="B46" s="9" t="n">
        <x:v>45824</x:v>
      </x:c>
      <x:c r="C46" s="8" t="str">
        <x:v>Picking</x:v>
      </x:c>
      <x:c r="D46" s="23" t="n">
        <x:v>24</x:v>
      </x:c>
      <x:c r="E46" s="23" t="n">
        <x:v>7.5</x:v>
      </x:c>
      <x:c r="F46" s="23" t="n">
        <x:v>0</x:v>
      </x:c>
      <x:c r="G46" s="23" t="n">
        <x:v>0</x:v>
      </x:c>
      <x:c r="H46" s="23" t="n">
        <x:v>0</x:v>
      </x:c>
      <x:c r="I46" s="23" t="n">
        <x:v>0</x:v>
      </x:c>
      <x:c r="J46" s="23" t="n">
        <x:v>154</x:v>
      </x:c>
      <x:c r="K46" s="26" t="n">
        <x:v>1</x:v>
      </x:c>
    </x:row>
    <x:row r="47" ht="22" customHeight="1">
      <x:c r="A47" s="8" t="n">
        <x:v>20250617</x:v>
      </x:c>
      <x:c r="B47" s="9" t="n">
        <x:v>45825</x:v>
      </x:c>
      <x:c r="C47" s="8" t="str">
        <x:v>Delivery</x:v>
      </x:c>
      <x:c r="D47" s="23" t="n">
        <x:v>28</x:v>
      </x:c>
      <x:c r="E47" s="23" t="n">
        <x:v>7.5</x:v>
      </x:c>
      <x:c r="F47" s="23" t="n">
        <x:v>0</x:v>
      </x:c>
      <x:c r="G47" s="23" t="n">
        <x:v>0</x:v>
      </x:c>
      <x:c r="H47" s="23" t="n">
        <x:v>0</x:v>
      </x:c>
      <x:c r="I47" s="23" t="n">
        <x:v>0</x:v>
      </x:c>
      <x:c r="J47" s="23" t="n">
        <x:v>487.2340425531915</x:v>
      </x:c>
      <x:c r="K47" s="26" t="n">
        <x:v>0.45</x:v>
      </x:c>
    </x:row>
    <x:row r="48" ht="22" customHeight="1">
      <x:c r="A48" s="8" t="n">
        <x:v>20250617</x:v>
      </x:c>
      <x:c r="B48" s="9" t="n">
        <x:v>45825</x:v>
      </x:c>
      <x:c r="C48" s="8" t="str">
        <x:v>Recycling</x:v>
      </x:c>
      <x:c r="D48" s="23" t="n">
        <x:v>12</x:v>
      </x:c>
      <x:c r="E48" s="23" t="n">
        <x:v>7.5</x:v>
      </x:c>
      <x:c r="F48" s="23" t="n">
        <x:v>0</x:v>
      </x:c>
      <x:c r="G48" s="23" t="n">
        <x:v>0</x:v>
      </x:c>
      <x:c r="H48" s="23" t="n">
        <x:v>0</x:v>
      </x:c>
      <x:c r="I48" s="23" t="n">
        <x:v>0</x:v>
      </x:c>
      <x:c r="J48" s="23" t="n">
        <x:v>40</x:v>
      </x:c>
      <x:c r="K48" s="26" t="n">
        <x:v>1</x:v>
      </x:c>
    </x:row>
    <x:row r="49" ht="22" customHeight="1">
      <x:c r="A49" s="8" t="n">
        <x:v>20250617</x:v>
      </x:c>
      <x:c r="B49" s="9" t="n">
        <x:v>45825</x:v>
      </x:c>
      <x:c r="C49" s="8" t="str">
        <x:v>Picking</x:v>
      </x:c>
      <x:c r="D49" s="23" t="n">
        <x:v>24</x:v>
      </x:c>
      <x:c r="E49" s="23" t="n">
        <x:v>7.5</x:v>
      </x:c>
      <x:c r="F49" s="23" t="n">
        <x:v>0</x:v>
      </x:c>
      <x:c r="G49" s="23" t="n">
        <x:v>0</x:v>
      </x:c>
      <x:c r="H49" s="23" t="n">
        <x:v>0</x:v>
      </x:c>
      <x:c r="I49" s="23" t="n">
        <x:v>0</x:v>
      </x:c>
      <x:c r="J49" s="23" t="n">
        <x:v>154</x:v>
      </x:c>
      <x:c r="K49" s="26" t="n">
        <x:v>1</x:v>
      </x:c>
    </x:row>
    <x:row r="50" ht="22" customHeight="1">
      <x:c r="A50" s="8" t="n">
        <x:v>20250618</x:v>
      </x:c>
      <x:c r="B50" s="9" t="n">
        <x:v>45826</x:v>
      </x:c>
      <x:c r="C50" s="8" t="str">
        <x:v>Delivery</x:v>
      </x:c>
      <x:c r="D50" s="23" t="n">
        <x:v>28</x:v>
      </x:c>
      <x:c r="E50" s="23" t="n">
        <x:v>7.5</x:v>
      </x:c>
      <x:c r="F50" s="23" t="n">
        <x:v>0</x:v>
      </x:c>
      <x:c r="G50" s="23" t="n">
        <x:v>0</x:v>
      </x:c>
      <x:c r="H50" s="23" t="n">
        <x:v>0</x:v>
      </x:c>
      <x:c r="I50" s="23" t="n">
        <x:v>0</x:v>
      </x:c>
      <x:c r="J50" s="23" t="n">
        <x:v>526.5957446808511</x:v>
      </x:c>
      <x:c r="K50" s="26" t="n">
        <x:v>0.45</x:v>
      </x:c>
    </x:row>
    <x:row r="51" ht="22" customHeight="1">
      <x:c r="A51" s="8" t="n">
        <x:v>20250618</x:v>
      </x:c>
      <x:c r="B51" s="9" t="n">
        <x:v>45826</x:v>
      </x:c>
      <x:c r="C51" s="8" t="str">
        <x:v>Recycling</x:v>
      </x:c>
      <x:c r="D51" s="23" t="n">
        <x:v>12</x:v>
      </x:c>
      <x:c r="E51" s="23" t="n">
        <x:v>7.5</x:v>
      </x:c>
      <x:c r="F51" s="23" t="n">
        <x:v>0</x:v>
      </x:c>
      <x:c r="G51" s="23" t="n">
        <x:v>0</x:v>
      </x:c>
      <x:c r="H51" s="23" t="n">
        <x:v>0</x:v>
      </x:c>
      <x:c r="I51" s="23" t="n">
        <x:v>0</x:v>
      </x:c>
      <x:c r="J51" s="23" t="n">
        <x:v>40</x:v>
      </x:c>
      <x:c r="K51" s="26" t="n">
        <x:v>1</x:v>
      </x:c>
    </x:row>
    <x:row r="52" ht="22" customHeight="1">
      <x:c r="A52" s="8" t="n">
        <x:v>20250618</x:v>
      </x:c>
      <x:c r="B52" s="9" t="n">
        <x:v>45826</x:v>
      </x:c>
      <x:c r="C52" s="8" t="str">
        <x:v>Picking</x:v>
      </x:c>
      <x:c r="D52" s="23" t="n">
        <x:v>24</x:v>
      </x:c>
      <x:c r="E52" s="23" t="n">
        <x:v>7.5</x:v>
      </x:c>
      <x:c r="F52" s="23" t="n">
        <x:v>0</x:v>
      </x:c>
      <x:c r="G52" s="23" t="n">
        <x:v>0</x:v>
      </x:c>
      <x:c r="H52" s="23" t="n">
        <x:v>0</x:v>
      </x:c>
      <x:c r="I52" s="23" t="n">
        <x:v>0</x:v>
      </x:c>
      <x:c r="J52" s="23" t="n">
        <x:v>154</x:v>
      </x:c>
      <x:c r="K52" s="26" t="n">
        <x:v>1</x:v>
      </x:c>
    </x:row>
    <x:row r="53" ht="22" customHeight="1">
      <x:c r="A53" s="8" t="n">
        <x:v>20250619</x:v>
      </x:c>
      <x:c r="B53" s="9" t="n">
        <x:v>45827</x:v>
      </x:c>
      <x:c r="C53" s="8" t="str">
        <x:v>Delivery</x:v>
      </x:c>
      <x:c r="D53" s="23" t="n">
        <x:v>28</x:v>
      </x:c>
      <x:c r="E53" s="23" t="n">
        <x:v>7.5</x:v>
      </x:c>
      <x:c r="F53" s="23" t="n">
        <x:v>0</x:v>
      </x:c>
      <x:c r="G53" s="23" t="n">
        <x:v>0</x:v>
      </x:c>
      <x:c r="H53" s="23" t="n">
        <x:v>0</x:v>
      </x:c>
      <x:c r="I53" s="23" t="n">
        <x:v>0</x:v>
      </x:c>
      <x:c r="J53" s="23" t="n">
        <x:v>552.6595744680851</x:v>
      </x:c>
      <x:c r="K53" s="26" t="n">
        <x:v>0.45</x:v>
      </x:c>
    </x:row>
    <x:row r="54" ht="22" customHeight="1">
      <x:c r="A54" s="8" t="n">
        <x:v>20250619</x:v>
      </x:c>
      <x:c r="B54" s="9" t="n">
        <x:v>45827</x:v>
      </x:c>
      <x:c r="C54" s="8" t="str">
        <x:v>Recycling</x:v>
      </x:c>
      <x:c r="D54" s="23" t="n">
        <x:v>12</x:v>
      </x:c>
      <x:c r="E54" s="23" t="n">
        <x:v>7.5</x:v>
      </x:c>
      <x:c r="F54" s="23" t="n">
        <x:v>0</x:v>
      </x:c>
      <x:c r="G54" s="23" t="n">
        <x:v>0</x:v>
      </x:c>
      <x:c r="H54" s="23" t="n">
        <x:v>0</x:v>
      </x:c>
      <x:c r="I54" s="23" t="n">
        <x:v>0</x:v>
      </x:c>
      <x:c r="J54" s="23" t="n">
        <x:v>40</x:v>
      </x:c>
      <x:c r="K54" s="26" t="n">
        <x:v>1</x:v>
      </x:c>
    </x:row>
    <x:row r="55" ht="22" customHeight="1">
      <x:c r="A55" s="8" t="n">
        <x:v>20250619</x:v>
      </x:c>
      <x:c r="B55" s="9" t="n">
        <x:v>45827</x:v>
      </x:c>
      <x:c r="C55" s="8" t="str">
        <x:v>Picking</x:v>
      </x:c>
      <x:c r="D55" s="23" t="n">
        <x:v>24</x:v>
      </x:c>
      <x:c r="E55" s="23" t="n">
        <x:v>7.5</x:v>
      </x:c>
      <x:c r="F55" s="23" t="n">
        <x:v>0</x:v>
      </x:c>
      <x:c r="G55" s="23" t="n">
        <x:v>0</x:v>
      </x:c>
      <x:c r="H55" s="23" t="n">
        <x:v>0</x:v>
      </x:c>
      <x:c r="I55" s="23" t="n">
        <x:v>0</x:v>
      </x:c>
      <x:c r="J55" s="23" t="n">
        <x:v>154</x:v>
      </x:c>
      <x:c r="K55" s="26" t="n">
        <x:v>1</x:v>
      </x:c>
    </x:row>
    <x:row r="56" ht="22" customHeight="1">
      <x:c r="A56" s="8" t="n">
        <x:v>20250620</x:v>
      </x:c>
      <x:c r="B56" s="9" t="n">
        <x:v>45828</x:v>
      </x:c>
      <x:c r="C56" s="8" t="str">
        <x:v>Delivery</x:v>
      </x:c>
      <x:c r="D56" s="23" t="n">
        <x:v>28</x:v>
      </x:c>
      <x:c r="E56" s="23" t="n">
        <x:v>7.5</x:v>
      </x:c>
      <x:c r="F56" s="23" t="n">
        <x:v>0</x:v>
      </x:c>
      <x:c r="G56" s="23" t="n">
        <x:v>0</x:v>
      </x:c>
      <x:c r="H56" s="23" t="n">
        <x:v>0</x:v>
      </x:c>
      <x:c r="I56" s="23" t="n">
        <x:v>0</x:v>
      </x:c>
      <x:c r="J56" s="23" t="n">
        <x:v>585.1063829787234</x:v>
      </x:c>
      <x:c r="K56" s="26" t="n">
        <x:v>0.45</x:v>
      </x:c>
    </x:row>
    <x:row r="57" ht="22" customHeight="1">
      <x:c r="A57" s="8" t="n">
        <x:v>20250620</x:v>
      </x:c>
      <x:c r="B57" s="9" t="n">
        <x:v>45828</x:v>
      </x:c>
      <x:c r="C57" s="8" t="str">
        <x:v>RECYCLING</x:v>
      </x:c>
      <x:c r="D57" s="23" t="n">
        <x:v>12</x:v>
      </x:c>
      <x:c r="E57" s="23" t="n">
        <x:v>7.5</x:v>
      </x:c>
      <x:c r="F57" s="23" t="n">
        <x:v>0</x:v>
      </x:c>
      <x:c r="G57" s="23" t="n">
        <x:v>0</x:v>
      </x:c>
      <x:c r="H57" s="23" t="n">
        <x:v>0</x:v>
      </x:c>
      <x:c r="I57" s="23" t="n">
        <x:v>0</x:v>
      </x:c>
      <x:c r="J57" s="23" t="n">
        <x:v>40</x:v>
      </x:c>
      <x:c r="K57" s="26" t="n">
        <x:v>1</x:v>
      </x:c>
    </x:row>
    <x:row r="58" ht="22" customHeight="1">
      <x:c r="A58" s="8" t="n">
        <x:v>20250620</x:v>
      </x:c>
      <x:c r="B58" s="9" t="n">
        <x:v>45828</x:v>
      </x:c>
      <x:c r="C58" s="8" t="str">
        <x:v>Picking</x:v>
      </x:c>
      <x:c r="D58" s="23" t="n">
        <x:v>24</x:v>
      </x:c>
      <x:c r="E58" s="23" t="n">
        <x:v>7.5</x:v>
      </x:c>
      <x:c r="F58" s="23" t="n">
        <x:v>0</x:v>
      </x:c>
      <x:c r="G58" s="23" t="n">
        <x:v>0</x:v>
      </x:c>
      <x:c r="H58" s="23" t="n">
        <x:v>0</x:v>
      </x:c>
      <x:c r="I58" s="23" t="n">
        <x:v>0</x:v>
      </x:c>
      <x:c r="J58" s="23" t="n">
        <x:v>154</x:v>
      </x:c>
      <x:c r="K58" s="26" t="n">
        <x:v>1</x:v>
      </x:c>
    </x:row>
    <x:row r="59" ht="22" customHeight="1">
      <x:c r="A59" s="8" t="n">
        <x:v>20250621</x:v>
      </x:c>
      <x:c r="B59" s="9" t="n">
        <x:v>45829</x:v>
      </x:c>
      <x:c r="C59" s="8" t="str">
        <x:v>Delivery</x:v>
      </x:c>
      <x:c r="D59" s="23" t="n">
        <x:v>28</x:v>
      </x:c>
      <x:c r="E59" s="23" t="n">
        <x:v>7.5</x:v>
      </x:c>
      <x:c r="F59" s="23" t="n">
        <x:v>0</x:v>
      </x:c>
      <x:c r="G59" s="23" t="n">
        <x:v>0</x:v>
      </x:c>
      <x:c r="H59" s="23" t="n">
        <x:v>0</x:v>
      </x:c>
      <x:c r="I59" s="23" t="n">
        <x:v>0</x:v>
      </x:c>
      <x:c r="J59" s="23" t="n">
        <x:v>606.9148936170213</x:v>
      </x:c>
      <x:c r="K59" s="26" t="n">
        <x:v>0.45</x:v>
      </x:c>
    </x:row>
    <x:row r="60" ht="22" customHeight="1">
      <x:c r="A60" s="8" t="n">
        <x:v>20250621</x:v>
      </x:c>
      <x:c r="B60" s="9" t="n">
        <x:v>45829</x:v>
      </x:c>
      <x:c r="C60" s="8" t="str">
        <x:v>Recycling</x:v>
      </x:c>
      <x:c r="D60" s="23" t="n">
        <x:v>12</x:v>
      </x:c>
      <x:c r="E60" s="23" t="n">
        <x:v>7.5</x:v>
      </x:c>
      <x:c r="F60" s="23" t="n">
        <x:v>0</x:v>
      </x:c>
      <x:c r="G60" s="23" t="n">
        <x:v>0</x:v>
      </x:c>
      <x:c r="H60" s="23" t="n">
        <x:v>0</x:v>
      </x:c>
      <x:c r="I60" s="23" t="n">
        <x:v>0</x:v>
      </x:c>
      <x:c r="J60" s="23" t="n">
        <x:v>40</x:v>
      </x:c>
      <x:c r="K60" s="26" t="n">
        <x:v>1</x:v>
      </x:c>
    </x:row>
    <x:row r="61" ht="22" customHeight="1">
      <x:c r="A61" s="8" t="n">
        <x:v>20250621</x:v>
      </x:c>
      <x:c r="B61" s="9" t="n">
        <x:v>45829</x:v>
      </x:c>
      <x:c r="C61" s="8" t="str">
        <x:v>Picking</x:v>
      </x:c>
      <x:c r="D61" s="23" t="n">
        <x:v>24</x:v>
      </x:c>
      <x:c r="E61" s="23" t="n">
        <x:v>7.5</x:v>
      </x:c>
      <x:c r="F61" s="23" t="n">
        <x:v>0</x:v>
      </x:c>
      <x:c r="G61" s="23" t="n">
        <x:v>0</x:v>
      </x:c>
      <x:c r="H61" s="23" t="n">
        <x:v>0</x:v>
      </x:c>
      <x:c r="I61" s="23" t="n">
        <x:v>0</x:v>
      </x:c>
      <x:c r="J61" s="23" t="n">
        <x:v>154</x:v>
      </x:c>
      <x:c r="K61" s="26" t="n">
        <x:v>1</x:v>
      </x:c>
    </x:row>
    <x:row r="62" ht="22" customHeight="1">
      <x:c r="A62" s="8" t="n">
        <x:v>20250622</x:v>
      </x:c>
      <x:c r="B62" s="9" t="n">
        <x:v>45830</x:v>
      </x:c>
      <x:c r="C62" s="8" t="str">
        <x:v>Delivery</x:v>
      </x:c>
      <x:c r="D62" s="23" t="n">
        <x:v>28</x:v>
      </x:c>
      <x:c r="E62" s="23" t="n">
        <x:v>7.5</x:v>
      </x:c>
      <x:c r="F62" s="23" t="n">
        <x:v>0</x:v>
      </x:c>
      <x:c r="G62" s="23" t="n">
        <x:v>0</x:v>
      </x:c>
      <x:c r="H62" s="23" t="n">
        <x:v>0</x:v>
      </x:c>
      <x:c r="I62" s="23" t="n">
        <x:v>0</x:v>
      </x:c>
      <x:c r="J62" s="23" t="n">
        <x:v>638.2978723404256</x:v>
      </x:c>
      <x:c r="K62" s="26" t="n">
        <x:v>0.45</x:v>
      </x:c>
    </x:row>
    <x:row r="63" ht="22" customHeight="1">
      <x:c r="A63" s="8" t="n">
        <x:v>20250622</x:v>
      </x:c>
      <x:c r="B63" s="9" t="n">
        <x:v>45830</x:v>
      </x:c>
      <x:c r="C63" s="8" t="str">
        <x:v>Recycling</x:v>
      </x:c>
      <x:c r="D63" s="23" t="n">
        <x:v>12</x:v>
      </x:c>
      <x:c r="E63" s="23" t="n">
        <x:v>7.5</x:v>
      </x:c>
      <x:c r="F63" s="23" t="n">
        <x:v>0</x:v>
      </x:c>
      <x:c r="G63" s="23" t="n">
        <x:v>0</x:v>
      </x:c>
      <x:c r="H63" s="23" t="n">
        <x:v>0</x:v>
      </x:c>
      <x:c r="I63" s="23" t="n">
        <x:v>0</x:v>
      </x:c>
      <x:c r="J63" s="23" t="n">
        <x:v>40</x:v>
      </x:c>
      <x:c r="K63" s="26" t="n">
        <x:v>1</x:v>
      </x:c>
    </x:row>
    <x:row r="64" ht="22" customHeight="1">
      <x:c r="A64" s="8" t="n">
        <x:v>20250622</x:v>
      </x:c>
      <x:c r="B64" s="9" t="n">
        <x:v>45830</x:v>
      </x:c>
      <x:c r="C64" s="8" t="str">
        <x:v>Picking</x:v>
      </x:c>
      <x:c r="D64" s="23" t="n">
        <x:v>24</x:v>
      </x:c>
      <x:c r="E64" s="23" t="n">
        <x:v>7.5</x:v>
      </x:c>
      <x:c r="F64" s="23" t="n">
        <x:v>0</x:v>
      </x:c>
      <x:c r="G64" s="23" t="n">
        <x:v>0</x:v>
      </x:c>
      <x:c r="H64" s="23" t="n">
        <x:v>0</x:v>
      </x:c>
      <x:c r="I64" s="23" t="n">
        <x:v>0</x:v>
      </x:c>
      <x:c r="J64" s="23" t="n">
        <x:v>154</x:v>
      </x:c>
      <x:c r="K64" s="26" t="n">
        <x:v>1</x:v>
      </x:c>
    </x:row>
    <x:row r="65" ht="22" customHeight="1">
      <x:c r="A65" s="8" t="n">
        <x:v>20250623</x:v>
      </x:c>
      <x:c r="B65" s="9" t="n">
        <x:v>45831</x:v>
      </x:c>
      <x:c r="C65" s="8" t="str">
        <x:v>Delivery</x:v>
      </x:c>
      <x:c r="D65" s="23" t="n">
        <x:v>28</x:v>
      </x:c>
      <x:c r="E65" s="23" t="n">
        <x:v>7.5</x:v>
      </x:c>
      <x:c r="F65" s="23" t="n">
        <x:v>0</x:v>
      </x:c>
      <x:c r="G65" s="23" t="n">
        <x:v>15</x:v>
      </x:c>
      <x:c r="H65" s="23" t="n">
        <x:v>6</x:v>
      </x:c>
      <x:c r="I65" s="23" t="n">
        <x:v>0.8</x:v>
      </x:c>
      <x:c r="J65" s="23" t="n">
        <x:v>606.3106796116505</x:v>
      </x:c>
      <x:c r="K65" s="26" t="n">
        <x:v>0.45</x:v>
      </x:c>
    </x:row>
    <x:row r="66" ht="22" customHeight="1">
      <x:c r="A66" s="8" t="n">
        <x:v>20250623</x:v>
      </x:c>
      <x:c r="B66" s="9" t="n">
        <x:v>45831</x:v>
      </x:c>
      <x:c r="C66" s="8" t="str">
        <x:v>Recycling</x:v>
      </x:c>
      <x:c r="D66" s="23" t="n">
        <x:v>12</x:v>
      </x:c>
      <x:c r="E66" s="23" t="n">
        <x:v>7.5</x:v>
      </x:c>
      <x:c r="F66" s="23" t="n">
        <x:v>15</x:v>
      </x:c>
      <x:c r="G66" s="23" t="n">
        <x:v>0</x:v>
      </x:c>
      <x:c r="H66" s="23" t="n">
        <x:v>0</x:v>
      </x:c>
      <x:c r="I66" s="23" t="n">
        <x:v>0</x:v>
      </x:c>
      <x:c r="J66" s="23" t="n">
        <x:v>44.2</x:v>
      </x:c>
      <x:c r="K66" s="26" t="n">
        <x:v>1</x:v>
      </x:c>
    </x:row>
    <x:row r="67" ht="22" customHeight="1">
      <x:c r="A67" s="8" t="n">
        <x:v>20250623</x:v>
      </x:c>
      <x:c r="B67" s="9" t="n">
        <x:v>45831</x:v>
      </x:c>
      <x:c r="C67" s="8" t="str">
        <x:v>Picking</x:v>
      </x:c>
      <x:c r="D67" s="23" t="n">
        <x:v>24</x:v>
      </x:c>
      <x:c r="E67" s="23" t="n">
        <x:v>7.5</x:v>
      </x:c>
      <x:c r="F67" s="23" t="n">
        <x:v>0</x:v>
      </x:c>
      <x:c r="G67" s="23" t="n">
        <x:v>0</x:v>
      </x:c>
      <x:c r="H67" s="23" t="n">
        <x:v>0</x:v>
      </x:c>
      <x:c r="I67" s="23" t="n">
        <x:v>0</x:v>
      </x:c>
      <x:c r="J67" s="23" t="n">
        <x:v>160.6</x:v>
      </x:c>
      <x:c r="K67" s="26" t="n">
        <x:v>1</x:v>
      </x:c>
    </x:row>
    <x:row r="68" ht="22" customHeight="1">
      <x:c r="A68" s="8" t="n">
        <x:v>20250624</x:v>
      </x:c>
      <x:c r="B68" s="9" t="n">
        <x:v>45832</x:v>
      </x:c>
      <x:c r="C68" s="8" t="str">
        <x:v> delivery </x:v>
      </x:c>
      <x:c r="D68" s="23" t="n">
        <x:v>28</x:v>
      </x:c>
      <x:c r="E68" s="23" t="n">
        <x:v>7.5</x:v>
      </x:c>
      <x:c r="F68" s="23" t="n">
        <x:v>0</x:v>
      </x:c>
      <x:c r="G68" s="23" t="n">
        <x:v>15</x:v>
      </x:c>
      <x:c r="H68" s="23" t="n">
        <x:v>6</x:v>
      </x:c>
      <x:c r="I68" s="23" t="n">
        <x:v>0.8</x:v>
      </x:c>
      <x:c r="J68" s="23" t="n">
        <x:v>617.9611650485436</x:v>
      </x:c>
      <x:c r="K68" s="26" t="n">
        <x:v>0.45</x:v>
      </x:c>
    </x:row>
    <x:row r="69" ht="22" customHeight="1">
      <x:c r="A69" s="8" t="n">
        <x:v>20250624</x:v>
      </x:c>
      <x:c r="B69" s="9" t="n">
        <x:v>45832</x:v>
      </x:c>
      <x:c r="C69" s="8" t="str">
        <x:v>Recycling</x:v>
      </x:c>
      <x:c r="D69" s="23" t="n">
        <x:v>12</x:v>
      </x:c>
      <x:c r="E69" s="23" t="n">
        <x:v>7.5</x:v>
      </x:c>
      <x:c r="F69" s="23" t="n">
        <x:v>15</x:v>
      </x:c>
      <x:c r="G69" s="23" t="n">
        <x:v>0</x:v>
      </x:c>
      <x:c r="H69" s="23" t="n">
        <x:v>0</x:v>
      </x:c>
      <x:c r="I69" s="23" t="n">
        <x:v>0</x:v>
      </x:c>
      <x:c r="J69" s="23" t="n">
        <x:v>47.2</x:v>
      </x:c>
      <x:c r="K69" s="26" t="n">
        <x:v>1</x:v>
      </x:c>
    </x:row>
    <x:row r="70" ht="22" customHeight="1">
      <x:c r="A70" s="8" t="n">
        <x:v>20250624</x:v>
      </x:c>
      <x:c r="B70" s="9" t="n">
        <x:v>45832</x:v>
      </x:c>
      <x:c r="C70" s="8" t="str">
        <x:v>Picking</x:v>
      </x:c>
      <x:c r="D70" s="23" t="n">
        <x:v>24</x:v>
      </x:c>
      <x:c r="E70" s="23" t="n">
        <x:v>7.5</x:v>
      </x:c>
      <x:c r="F70" s="23" t="n">
        <x:v>0</x:v>
      </x:c>
      <x:c r="G70" s="23" t="n">
        <x:v>0</x:v>
      </x:c>
      <x:c r="H70" s="23" t="n">
        <x:v>0</x:v>
      </x:c>
      <x:c r="I70" s="23" t="n">
        <x:v>0</x:v>
      </x:c>
      <x:c r="J70" s="23" t="n">
        <x:v>164.6</x:v>
      </x:c>
      <x:c r="K70" s="26" t="n">
        <x:v>1</x:v>
      </x:c>
    </x:row>
    <x:row r="71" ht="22" customHeight="1">
      <x:c r="A71" s="8" t="n">
        <x:v>20250625</x:v>
      </x:c>
      <x:c r="B71" s="9" t="n">
        <x:v>45833</x:v>
      </x:c>
      <x:c r="C71" s="8" t="str">
        <x:v>Delivery</x:v>
      </x:c>
      <x:c r="D71" s="23" t="n">
        <x:v>28</x:v>
      </x:c>
      <x:c r="E71" s="23" t="n">
        <x:v>7.5</x:v>
      </x:c>
      <x:c r="F71" s="23" t="n">
        <x:v>0</x:v>
      </x:c>
      <x:c r="G71" s="23" t="n">
        <x:v>15</x:v>
      </x:c>
      <x:c r="H71" s="23" t="n">
        <x:v>6</x:v>
      </x:c>
      <x:c r="I71" s="23" t="n">
        <x:v>0.8</x:v>
      </x:c>
      <x:c r="J71" s="23" t="n">
        <x:v>634.4660194174758</x:v>
      </x:c>
      <x:c r="K71" s="26" t="n">
        <x:v>0.45</x:v>
      </x:c>
    </x:row>
    <x:row r="72" ht="22" customHeight="1">
      <x:c r="A72" s="8" t="n">
        <x:v>20250625</x:v>
      </x:c>
      <x:c r="B72" s="9" t="n">
        <x:v>45833</x:v>
      </x:c>
      <x:c r="C72" s="8" t="str">
        <x:v>Recycling</x:v>
      </x:c>
      <x:c r="D72" s="23" t="n">
        <x:v>12</x:v>
      </x:c>
      <x:c r="E72" s="23" t="n">
        <x:v>7.5</x:v>
      </x:c>
      <x:c r="F72" s="23" t="n">
        <x:v>15</x:v>
      </x:c>
      <x:c r="G72" s="23" t="n">
        <x:v>0</x:v>
      </x:c>
      <x:c r="H72" s="23" t="n">
        <x:v>0</x:v>
      </x:c>
      <x:c r="I72" s="23" t="n">
        <x:v>0</x:v>
      </x:c>
      <x:c r="J72" s="23" t="n">
        <x:v>48.7</x:v>
      </x:c>
      <x:c r="K72" s="26" t="n">
        <x:v>1</x:v>
      </x:c>
    </x:row>
    <x:row r="73" ht="22" customHeight="1">
      <x:c r="A73" s="8" t="n">
        <x:v>20250625</x:v>
      </x:c>
      <x:c r="B73" s="9" t="n">
        <x:v>45833</x:v>
      </x:c>
      <x:c r="C73" s="8" t="str">
        <x:v>Picking</x:v>
      </x:c>
      <x:c r="D73" s="23" t="n">
        <x:v>24</x:v>
      </x:c>
      <x:c r="E73" s="23" t="n">
        <x:v>7.5</x:v>
      </x:c>
      <x:c r="F73" s="23" t="n">
        <x:v>0</x:v>
      </x:c>
      <x:c r="G73" s="23" t="n">
        <x:v>0</x:v>
      </x:c>
      <x:c r="H73" s="23" t="n">
        <x:v>0</x:v>
      </x:c>
      <x:c r="I73" s="23" t="n">
        <x:v>0</x:v>
      </x:c>
      <x:c r="J73" s="23" t="n">
        <x:v>166.6</x:v>
      </x:c>
      <x:c r="K73" s="26" t="n">
        <x:v>1</x:v>
      </x:c>
    </x:row>
    <x:row r="74" ht="22" customHeight="1">
      <x:c r="A74" s="8" t="n">
        <x:v>20250626</x:v>
      </x:c>
      <x:c r="B74" s="9" t="n">
        <x:v>45834</x:v>
      </x:c>
      <x:c r="C74" s="8" t="str">
        <x:v>Delivery</x:v>
      </x:c>
      <x:c r="D74" s="23" t="n">
        <x:v>28</x:v>
      </x:c>
      <x:c r="E74" s="23" t="n">
        <x:v>7.5</x:v>
      </x:c>
      <x:c r="F74" s="23" t="n">
        <x:v>0</x:v>
      </x:c>
      <x:c r="G74" s="23" t="n">
        <x:v>30</x:v>
      </x:c>
      <x:c r="H74" s="23" t="n">
        <x:v>0</x:v>
      </x:c>
      <x:c r="I74" s="23" t="n">
        <x:v>1.6</x:v>
      </x:c>
      <x:c r="J74" s="23" t="n">
        <x:v>638.8349514563107</x:v>
      </x:c>
      <x:c r="K74" s="26" t="n">
        <x:v>0.62</x:v>
      </x:c>
    </x:row>
    <x:row r="75" ht="22" customHeight="1">
      <x:c r="A75" s="8" t="n">
        <x:v>20250626</x:v>
      </x:c>
      <x:c r="B75" s="9" t="n">
        <x:v>45834</x:v>
      </x:c>
      <x:c r="C75" s="8" t="str">
        <x:v>Recycling</x:v>
      </x:c>
      <x:c r="D75" s="23" t="n">
        <x:v>12</x:v>
      </x:c>
      <x:c r="E75" s="23" t="n">
        <x:v>7.5</x:v>
      </x:c>
      <x:c r="F75" s="23" t="n">
        <x:v>30</x:v>
      </x:c>
      <x:c r="G75" s="23" t="n">
        <x:v>0</x:v>
      </x:c>
      <x:c r="H75" s="23" t="n">
        <x:v>0</x:v>
      </x:c>
      <x:c r="I75" s="23" t="n">
        <x:v>0</x:v>
      </x:c>
      <x:c r="J75" s="23" t="n">
        <x:v>44.95</x:v>
      </x:c>
      <x:c r="K75" s="26" t="n">
        <x:v>1</x:v>
      </x:c>
    </x:row>
    <x:row r="76" ht="22" customHeight="1">
      <x:c r="A76" s="8" t="n">
        <x:v>20250626</x:v>
      </x:c>
      <x:c r="B76" s="9" t="n">
        <x:v>45834</x:v>
      </x:c>
      <x:c r="C76" s="8" t="str">
        <x:v>Picking</x:v>
      </x:c>
      <x:c r="D76" s="23" t="n">
        <x:v>24</x:v>
      </x:c>
      <x:c r="E76" s="23" t="n">
        <x:v>7.5</x:v>
      </x:c>
      <x:c r="F76" s="23" t="n">
        <x:v>0</x:v>
      </x:c>
      <x:c r="G76" s="23" t="n">
        <x:v>0</x:v>
      </x:c>
      <x:c r="H76" s="23" t="n">
        <x:v>0</x:v>
      </x:c>
      <x:c r="I76" s="23" t="n">
        <x:v>0</x:v>
      </x:c>
      <x:c r="J76" s="23" t="n">
        <x:v>161.6</x:v>
      </x:c>
      <x:c r="K76" s="26" t="n">
        <x:v>1</x:v>
      </x:c>
    </x:row>
    <x:row r="77" ht="22" customHeight="1">
      <x:c r="A77" s="8" t="n">
        <x:v>20250627</x:v>
      </x:c>
      <x:c r="B77" s="9" t="n">
        <x:v>45835</x:v>
      </x:c>
      <x:c r="C77" s="8" t="str">
        <x:v>Delivery</x:v>
      </x:c>
      <x:c r="D77" s="23" t="n">
        <x:v>28</x:v>
      </x:c>
      <x:c r="E77" s="23" t="n">
        <x:v>7.5</x:v>
      </x:c>
      <x:c r="F77" s="23" t="n">
        <x:v>0</x:v>
      </x:c>
      <x:c r="G77" s="23" t="n">
        <x:v>30</x:v>
      </x:c>
      <x:c r="H77" s="23" t="n">
        <x:v>0</x:v>
      </x:c>
      <x:c r="I77" s="23" t="n">
        <x:v>1.6</x:v>
      </x:c>
      <x:c r="J77" s="23" t="n">
        <x:v>635.4368932038835</x:v>
      </x:c>
      <x:c r="K77" s="26" t="n">
        <x:v>0.62</x:v>
      </x:c>
    </x:row>
    <x:row r="78" ht="22" customHeight="1">
      <x:c r="A78" s="8" t="n">
        <x:v>20250627</x:v>
      </x:c>
      <x:c r="B78" s="9" t="n">
        <x:v>45835</x:v>
      </x:c>
      <x:c r="C78" s="8" t="str">
        <x:v>Recycling</x:v>
      </x:c>
      <x:c r="D78" s="23" t="n">
        <x:v>12</x:v>
      </x:c>
      <x:c r="E78" s="23" t="n">
        <x:v>7.5</x:v>
      </x:c>
      <x:c r="F78" s="23" t="n">
        <x:v>30</x:v>
      </x:c>
      <x:c r="G78" s="23" t="n">
        <x:v>0</x:v>
      </x:c>
      <x:c r="H78" s="23" t="n">
        <x:v>0</x:v>
      </x:c>
      <x:c r="I78" s="23" t="n">
        <x:v>0</x:v>
      </x:c>
      <x:c r="J78" s="23" t="n">
        <x:v>46.75</x:v>
      </x:c>
      <x:c r="K78" s="26" t="n">
        <x:v>1</x:v>
      </x:c>
    </x:row>
    <x:row r="79" ht="22" customHeight="1">
      <x:c r="A79" s="8" t="n">
        <x:v>20250627</x:v>
      </x:c>
      <x:c r="B79" s="9" t="n">
        <x:v>45835</x:v>
      </x:c>
      <x:c r="C79" s="8" t="str">
        <x:v>Picking</x:v>
      </x:c>
      <x:c r="D79" s="23" t="n">
        <x:v>24</x:v>
      </x:c>
      <x:c r="E79" s="23" t="n">
        <x:v>7.5</x:v>
      </x:c>
      <x:c r="F79" s="23" t="n">
        <x:v>0</x:v>
      </x:c>
      <x:c r="G79" s="23" t="n">
        <x:v>0</x:v>
      </x:c>
      <x:c r="H79" s="23" t="n">
        <x:v>0</x:v>
      </x:c>
      <x:c r="I79" s="23" t="n">
        <x:v>0</x:v>
      </x:c>
      <x:c r="J79" s="23" t="n">
        <x:v>164</x:v>
      </x:c>
      <x:c r="K79" s="26" t="n">
        <x:v>1</x:v>
      </x:c>
    </x:row>
    <x:row r="80" ht="22" customHeight="1">
      <x:c r="A80" s="8" t="n">
        <x:v>20250628</x:v>
      </x:c>
      <x:c r="B80" s="9" t="n">
        <x:v>45836</x:v>
      </x:c>
      <x:c r="C80" s="8" t="str">
        <x:v>Delivery</x:v>
      </x:c>
      <x:c r="D80" s="23" t="n">
        <x:v>28</x:v>
      </x:c>
      <x:c r="E80" s="23" t="n">
        <x:v>7.5</x:v>
      </x:c>
      <x:c r="F80" s="23" t="n">
        <x:v>0</x:v>
      </x:c>
      <x:c r="G80" s="23" t="n">
        <x:v>30</x:v>
      </x:c>
      <x:c r="H80" s="23" t="n">
        <x:v>0</x:v>
      </x:c>
      <x:c r="I80" s="23" t="n">
        <x:v>1.6</x:v>
      </x:c>
      <x:c r="J80" s="23" t="n">
        <x:v>622.3300970873786</x:v>
      </x:c>
      <x:c r="K80" s="26" t="n">
        <x:v>0.62</x:v>
      </x:c>
    </x:row>
    <x:row r="81" ht="22" customHeight="1">
      <x:c r="A81" s="8" t="n">
        <x:v>20250628</x:v>
      </x:c>
      <x:c r="B81" s="9" t="n">
        <x:v>45836</x:v>
      </x:c>
      <x:c r="C81" s="8" t="str">
        <x:v>Recycling</x:v>
      </x:c>
      <x:c r="D81" s="23" t="n">
        <x:v>12</x:v>
      </x:c>
      <x:c r="E81" s="23" t="n">
        <x:v>7.5</x:v>
      </x:c>
      <x:c r="F81" s="23" t="n">
        <x:v>30</x:v>
      </x:c>
      <x:c r="G81" s="23" t="n">
        <x:v>0</x:v>
      </x:c>
      <x:c r="H81" s="23" t="n">
        <x:v>0</x:v>
      </x:c>
      <x:c r="I81" s="23" t="n">
        <x:v>0</x:v>
      </x:c>
      <x:c r="J81" s="23" t="n">
        <x:v>43.75</x:v>
      </x:c>
      <x:c r="K81" s="26" t="n">
        <x:v>1</x:v>
      </x:c>
    </x:row>
    <x:row r="82" ht="22" customHeight="1">
      <x:c r="A82" s="8" t="n">
        <x:v>20250628</x:v>
      </x:c>
      <x:c r="B82" s="9" t="n">
        <x:v>45836</x:v>
      </x:c>
      <x:c r="C82" s="8" t="str">
        <x:v>Picking</x:v>
      </x:c>
      <x:c r="D82" s="23" t="n">
        <x:v>24</x:v>
      </x:c>
      <x:c r="E82" s="23" t="n">
        <x:v>7.5</x:v>
      </x:c>
      <x:c r="F82" s="23" t="n">
        <x:v>0</x:v>
      </x:c>
      <x:c r="G82" s="23" t="n">
        <x:v>0</x:v>
      </x:c>
      <x:c r="H82" s="23" t="n">
        <x:v>0</x:v>
      </x:c>
      <x:c r="I82" s="23" t="n">
        <x:v>0</x:v>
      </x:c>
      <x:c r="J82" s="23" t="n">
        <x:v>160</x:v>
      </x:c>
      <x:c r="K82" s="26" t="n">
        <x:v>1</x:v>
      </x:c>
    </x:row>
    <x:row r="83" ht="22" customHeight="1">
      <x:c r="A83" s="8" t="n">
        <x:v>20250629</x:v>
      </x:c>
      <x:c r="B83" s="9" t="n">
        <x:v>45837</x:v>
      </x:c>
      <x:c r="C83" s="8" t="str">
        <x:v>Delivery</x:v>
      </x:c>
      <x:c r="D83" s="23" t="n">
        <x:v>28</x:v>
      </x:c>
      <x:c r="E83" s="23" t="n">
        <x:v>7.5</x:v>
      </x:c>
      <x:c r="F83" s="23" t="n">
        <x:v>0</x:v>
      </x:c>
      <x:c r="G83" s="23" t="n">
        <x:v>30</x:v>
      </x:c>
      <x:c r="H83" s="23" t="n">
        <x:v>0</x:v>
      </x:c>
      <x:c r="I83" s="23" t="n">
        <x:v>1.6</x:v>
      </x:c>
      <x:c r="J83" s="23" t="n">
        <x:v>617.9611650485436</x:v>
      </x:c>
      <x:c r="K83" s="26" t="n">
        <x:v>0.62</x:v>
      </x:c>
    </x:row>
    <x:row r="84" ht="22" customHeight="1">
      <x:c r="A84" s="8" t="n">
        <x:v>20250629</x:v>
      </x:c>
      <x:c r="B84" s="9" t="n">
        <x:v>45837</x:v>
      </x:c>
      <x:c r="C84" s="8" t="str">
        <x:v>RECYCLING</x:v>
      </x:c>
      <x:c r="D84" s="23" t="n">
        <x:v>12</x:v>
      </x:c>
      <x:c r="E84" s="23" t="n">
        <x:v>7.5</x:v>
      </x:c>
      <x:c r="F84" s="23" t="n">
        <x:v>30</x:v>
      </x:c>
      <x:c r="G84" s="23" t="n">
        <x:v>0</x:v>
      </x:c>
      <x:c r="H84" s="23" t="n">
        <x:v>0</x:v>
      </x:c>
      <x:c r="I84" s="23" t="n">
        <x:v>0</x:v>
      </x:c>
      <x:c r="J84" s="23" t="n">
        <x:v>46.45</x:v>
      </x:c>
      <x:c r="K84" s="26" t="n">
        <x:v>1</x:v>
      </x:c>
    </x:row>
    <x:row r="85" ht="22" customHeight="1">
      <x:c r="A85" s="8" t="n">
        <x:v>20250629</x:v>
      </x:c>
      <x:c r="B85" s="9" t="n">
        <x:v>45837</x:v>
      </x:c>
      <x:c r="C85" s="8" t="str">
        <x:v>Picking</x:v>
      </x:c>
      <x:c r="D85" s="23" t="n">
        <x:v>24</x:v>
      </x:c>
      <x:c r="E85" s="23" t="n">
        <x:v>7.5</x:v>
      </x:c>
      <x:c r="F85" s="23" t="n">
        <x:v>0</x:v>
      </x:c>
      <x:c r="G85" s="23" t="n">
        <x:v>0</x:v>
      </x:c>
      <x:c r="H85" s="23" t="n">
        <x:v>0</x:v>
      </x:c>
      <x:c r="I85" s="23" t="n">
        <x:v>0</x:v>
      </x:c>
      <x:c r="J85" s="23" t="n">
        <x:v>163.6</x:v>
      </x:c>
      <x:c r="K85" s="26" t="n">
        <x:v>1</x:v>
      </x:c>
    </x:row>
    <x:row r="86" ht="22" customHeight="1">
      <x:c r="A86" s="8" t="n">
        <x:v>20250630</x:v>
      </x:c>
      <x:c r="B86" s="9" t="n">
        <x:v>45838</x:v>
      </x:c>
      <x:c r="C86" s="8" t="str">
        <x:v>Delivery</x:v>
      </x:c>
      <x:c r="D86" s="23" t="n">
        <x:v>28</x:v>
      </x:c>
      <x:c r="E86" s="23" t="n">
        <x:v>7.5</x:v>
      </x:c>
      <x:c r="F86" s="23" t="n">
        <x:v>0</x:v>
      </x:c>
      <x:c r="G86" s="23" t="n">
        <x:v>30</x:v>
      </x:c>
      <x:c r="H86" s="23" t="n">
        <x:v>0</x:v>
      </x:c>
      <x:c r="I86" s="23" t="n">
        <x:v>1.6</x:v>
      </x:c>
      <x:c r="J86" s="23" t="n">
        <x:v>606.3106796116505</x:v>
      </x:c>
      <x:c r="K86" s="26" t="n">
        <x:v>0.62</x:v>
      </x:c>
    </x:row>
    <x:row r="87" ht="22" customHeight="1">
      <x:c r="A87" s="8" t="n">
        <x:v>20250630</x:v>
      </x:c>
      <x:c r="B87" s="9" t="n">
        <x:v>45838</x:v>
      </x:c>
      <x:c r="C87" s="8" t="str">
        <x:v>Recycling</x:v>
      </x:c>
      <x:c r="D87" s="23" t="n">
        <x:v>12</x:v>
      </x:c>
      <x:c r="E87" s="23" t="n">
        <x:v>7.5</x:v>
      </x:c>
      <x:c r="F87" s="23" t="n">
        <x:v>30</x:v>
      </x:c>
      <x:c r="G87" s="23" t="n">
        <x:v>0</x:v>
      </x:c>
      <x:c r="H87" s="23" t="n">
        <x:v>0</x:v>
      </x:c>
      <x:c r="I87" s="23" t="n">
        <x:v>0</x:v>
      </x:c>
      <x:c r="J87" s="23" t="n">
        <x:v>44.2</x:v>
      </x:c>
      <x:c r="K87" s="26" t="n">
        <x:v>1</x:v>
      </x:c>
    </x:row>
    <x:row r="88" ht="22" customHeight="1">
      <x:c r="A88" s="8" t="n">
        <x:v>20250630</x:v>
      </x:c>
      <x:c r="B88" s="9" t="n">
        <x:v>45838</x:v>
      </x:c>
      <x:c r="C88" s="8" t="str">
        <x:v>Picking</x:v>
      </x:c>
      <x:c r="D88" s="23" t="n">
        <x:v>24</x:v>
      </x:c>
      <x:c r="E88" s="23" t="n">
        <x:v>7.5</x:v>
      </x:c>
      <x:c r="F88" s="23" t="n">
        <x:v>0</x:v>
      </x:c>
      <x:c r="G88" s="23" t="n">
        <x:v>0</x:v>
      </x:c>
      <x:c r="H88" s="23" t="n">
        <x:v>0</x:v>
      </x:c>
      <x:c r="I88" s="23" t="n">
        <x:v>0</x:v>
      </x:c>
      <x:c r="J88" s="23" t="n">
        <x:v>160.6</x:v>
      </x:c>
      <x:c r="K88" s="26" t="n">
        <x:v>1</x:v>
      </x:c>
    </x:row>
    <x:row r="89" ht="22" customHeight="1">
      <x:c r="A89" s="8" t="n">
        <x:v>20250701</x:v>
      </x:c>
      <x:c r="B89" s="9" t="n">
        <x:v>45839</x:v>
      </x:c>
      <x:c r="C89" s="8" t="str">
        <x:v>Delivery</x:v>
      </x:c>
      <x:c r="D89" s="23" t="n">
        <x:v>28</x:v>
      </x:c>
      <x:c r="E89" s="23" t="n">
        <x:v>7.5</x:v>
      </x:c>
      <x:c r="F89" s="23" t="n">
        <x:v>0</x:v>
      </x:c>
      <x:c r="G89" s="23" t="n">
        <x:v>30</x:v>
      </x:c>
      <x:c r="H89" s="23" t="n">
        <x:v>0</x:v>
      </x:c>
      <x:c r="I89" s="23" t="n">
        <x:v>1.6</x:v>
      </x:c>
      <x:c r="J89" s="23" t="n">
        <x:v>604.3689320388349</x:v>
      </x:c>
      <x:c r="K89" s="26" t="n">
        <x:v>0.62</x:v>
      </x:c>
    </x:row>
    <x:row r="90" ht="22" customHeight="1">
      <x:c r="A90" s="8" t="n">
        <x:v>20250701</x:v>
      </x:c>
      <x:c r="B90" s="9" t="n">
        <x:v>45839</x:v>
      </x:c>
      <x:c r="C90" s="8" t="str">
        <x:v>Recycling</x:v>
      </x:c>
      <x:c r="D90" s="23" t="n">
        <x:v>12</x:v>
      </x:c>
      <x:c r="E90" s="23" t="n">
        <x:v>7.5</x:v>
      </x:c>
      <x:c r="F90" s="23" t="n">
        <x:v>30</x:v>
      </x:c>
      <x:c r="G90" s="23" t="n">
        <x:v>0</x:v>
      </x:c>
      <x:c r="H90" s="23" t="n">
        <x:v>0</x:v>
      </x:c>
      <x:c r="I90" s="23" t="n">
        <x:v>0</x:v>
      </x:c>
      <x:c r="J90" s="23" t="n">
        <x:v>47.2</x:v>
      </x:c>
      <x:c r="K90" s="26" t="n">
        <x:v>1</x:v>
      </x:c>
    </x:row>
    <x:row r="91" ht="22" customHeight="1">
      <x:c r="A91" s="8" t="n">
        <x:v>20250701</x:v>
      </x:c>
      <x:c r="B91" s="9" t="n">
        <x:v>45839</x:v>
      </x:c>
      <x:c r="C91" s="8" t="str">
        <x:v>Picking</x:v>
      </x:c>
      <x:c r="D91" s="23" t="n">
        <x:v>24</x:v>
      </x:c>
      <x:c r="E91" s="23" t="n">
        <x:v>7.5</x:v>
      </x:c>
      <x:c r="F91" s="23" t="n">
        <x:v>0</x:v>
      </x:c>
      <x:c r="G91" s="23" t="n">
        <x:v>0</x:v>
      </x:c>
      <x:c r="H91" s="23" t="n">
        <x:v>0</x:v>
      </x:c>
      <x:c r="I91" s="23" t="n">
        <x:v>0</x:v>
      </x:c>
      <x:c r="J91" s="23" t="n">
        <x:v>164.6</x:v>
      </x:c>
      <x:c r="K91" s="26" t="n">
        <x:v>1</x:v>
      </x:c>
    </x:row>
    <x:row r="92" ht="22" customHeight="1">
      <x:c r="A92" s="8" t="n">
        <x:v>20250702</x:v>
      </x:c>
      <x:c r="B92" s="9" t="n">
        <x:v>45840</x:v>
      </x:c>
      <x:c r="C92" s="8" t="str">
        <x:v>Delivery</x:v>
      </x:c>
      <x:c r="D92" s="23" t="n">
        <x:v>28</x:v>
      </x:c>
      <x:c r="E92" s="23" t="n">
        <x:v>7.5</x:v>
      </x:c>
      <x:c r="F92" s="23" t="n">
        <x:v>0</x:v>
      </x:c>
      <x:c r="G92" s="23" t="n">
        <x:v>30</x:v>
      </x:c>
      <x:c r="H92" s="23" t="n">
        <x:v>0</x:v>
      </x:c>
      <x:c r="I92" s="23" t="n">
        <x:v>1.6</x:v>
      </x:c>
      <x:c r="J92" s="23" t="n">
        <x:v>607.2815533980582</x:v>
      </x:c>
      <x:c r="K92" s="26" t="n">
        <x:v>0.62</x:v>
      </x:c>
    </x:row>
    <x:row r="93" ht="22" customHeight="1">
      <x:c r="A93" s="8" t="n">
        <x:v>20250702</x:v>
      </x:c>
      <x:c r="B93" s="9" t="n">
        <x:v>45840</x:v>
      </x:c>
      <x:c r="C93" s="8" t="str">
        <x:v>Recycling</x:v>
      </x:c>
      <x:c r="D93" s="23" t="n">
        <x:v>12</x:v>
      </x:c>
      <x:c r="E93" s="23" t="n">
        <x:v>7.5</x:v>
      </x:c>
      <x:c r="F93" s="23" t="n">
        <x:v>30</x:v>
      </x:c>
      <x:c r="G93" s="23" t="n">
        <x:v>0</x:v>
      </x:c>
      <x:c r="H93" s="23" t="n">
        <x:v>0</x:v>
      </x:c>
      <x:c r="I93" s="23" t="n">
        <x:v>0</x:v>
      </x:c>
      <x:c r="J93" s="23" t="n">
        <x:v>48.7</x:v>
      </x:c>
      <x:c r="K93" s="26" t="n">
        <x:v>1</x:v>
      </x:c>
    </x:row>
    <x:row r="94" ht="22" customHeight="1">
      <x:c r="A94" s="8" t="n">
        <x:v>20250702</x:v>
      </x:c>
      <x:c r="B94" s="9" t="n">
        <x:v>45840</x:v>
      </x:c>
      <x:c r="C94" s="8" t="str">
        <x:v>Picking</x:v>
      </x:c>
      <x:c r="D94" s="23" t="n">
        <x:v>24</x:v>
      </x:c>
      <x:c r="E94" s="23" t="n">
        <x:v>7.5</x:v>
      </x:c>
      <x:c r="F94" s="23" t="n">
        <x:v>0</x:v>
      </x:c>
      <x:c r="G94" s="23" t="n">
        <x:v>0</x:v>
      </x:c>
      <x:c r="H94" s="23" t="n">
        <x:v>0</x:v>
      </x:c>
      <x:c r="I94" s="23" t="n">
        <x:v>0</x:v>
      </x:c>
      <x:c r="J94" s="23" t="n">
        <x:v>166.6</x:v>
      </x:c>
      <x:c r="K94" s="26" t="n">
        <x:v>1</x:v>
      </x:c>
    </x:row>
    <x:row r="95" ht="22" customHeight="1">
      <x:c r="A95" s="8" t="n">
        <x:v>20250703</x:v>
      </x:c>
      <x:c r="B95" s="9" t="n">
        <x:v>45841</x:v>
      </x:c>
      <x:c r="C95" s="8" t="str">
        <x:v>Delivery</x:v>
      </x:c>
      <x:c r="D95" s="23" t="n">
        <x:v>28</x:v>
      </x:c>
      <x:c r="E95" s="23" t="n">
        <x:v>7.5</x:v>
      </x:c>
      <x:c r="F95" s="23" t="n">
        <x:v>0</x:v>
      </x:c>
      <x:c r="G95" s="23" t="n">
        <x:v>30</x:v>
      </x:c>
      <x:c r="H95" s="23" t="n">
        <x:v>0</x:v>
      </x:c>
      <x:c r="I95" s="23" t="n">
        <x:v>1.6</x:v>
      </x:c>
      <x:c r="J95" s="23" t="n">
        <x:v>598.0582524271845</x:v>
      </x:c>
      <x:c r="K95" s="26" t="n">
        <x:v>0.62</x:v>
      </x:c>
    </x:row>
    <x:row r="96" ht="22" customHeight="1">
      <x:c r="A96" s="8" t="n">
        <x:v>20250703</x:v>
      </x:c>
      <x:c r="B96" s="9" t="n">
        <x:v>45841</x:v>
      </x:c>
      <x:c r="C96" s="8" t="str">
        <x:v>Recycling</x:v>
      </x:c>
      <x:c r="D96" s="23" t="n">
        <x:v>12</x:v>
      </x:c>
      <x:c r="E96" s="23" t="n">
        <x:v>7.5</x:v>
      </x:c>
      <x:c r="F96" s="23" t="n">
        <x:v>30</x:v>
      </x:c>
      <x:c r="G96" s="23" t="n">
        <x:v>0</x:v>
      </x:c>
      <x:c r="H96" s="23" t="n">
        <x:v>0</x:v>
      </x:c>
      <x:c r="I96" s="23" t="n">
        <x:v>0</x:v>
      </x:c>
      <x:c r="J96" s="23" t="n">
        <x:v>44.95</x:v>
      </x:c>
      <x:c r="K96" s="26" t="n">
        <x:v>1</x:v>
      </x:c>
    </x:row>
    <x:row r="97" ht="22" customHeight="1">
      <x:c r="A97" s="8" t="n">
        <x:v>20250703</x:v>
      </x:c>
      <x:c r="B97" s="9" t="n">
        <x:v>45841</x:v>
      </x:c>
      <x:c r="C97" s="8" t="str">
        <x:v>Picking</x:v>
      </x:c>
      <x:c r="D97" s="23" t="n">
        <x:v>24</x:v>
      </x:c>
      <x:c r="E97" s="23" t="n">
        <x:v>7.5</x:v>
      </x:c>
      <x:c r="F97" s="23" t="n">
        <x:v>0</x:v>
      </x:c>
      <x:c r="G97" s="23" t="n">
        <x:v>0</x:v>
      </x:c>
      <x:c r="H97" s="23" t="n">
        <x:v>0</x:v>
      </x:c>
      <x:c r="I97" s="23" t="n">
        <x:v>0</x:v>
      </x:c>
      <x:c r="J97" s="23" t="n">
        <x:v>161.6</x:v>
      </x:c>
      <x:c r="K97" s="26" t="n">
        <x:v>1</x:v>
      </x:c>
    </x:row>
    <x:row r="98" ht="22" customHeight="1">
      <x:c r="A98" s="8" t="n">
        <x:v>20250704</x:v>
      </x:c>
      <x:c r="B98" s="9" t="n">
        <x:v>45842</x:v>
      </x:c>
      <x:c r="C98" s="8" t="str">
        <x:v>Delivery</x:v>
      </x:c>
      <x:c r="D98" s="23" t="n">
        <x:v>28</x:v>
      </x:c>
      <x:c r="E98" s="23" t="n">
        <x:v>7.5</x:v>
      </x:c>
      <x:c r="F98" s="23" t="n">
        <x:v>0</x:v>
      </x:c>
      <x:c r="G98" s="23" t="n">
        <x:v>30</x:v>
      </x:c>
      <x:c r="H98" s="23" t="n">
        <x:v>0</x:v>
      </x:c>
      <x:c r="I98" s="23" t="n">
        <x:v>1.6</x:v>
      </x:c>
      <x:c r="J98" s="23" t="n">
        <x:v>594.6601941747573</x:v>
      </x:c>
      <x:c r="K98" s="26" t="n">
        <x:v>0.62</x:v>
      </x:c>
    </x:row>
    <x:row r="99" ht="22" customHeight="1">
      <x:c r="A99" s="8" t="n">
        <x:v>20250704</x:v>
      </x:c>
      <x:c r="B99" s="9" t="n">
        <x:v>45842</x:v>
      </x:c>
      <x:c r="C99" s="8" t="str">
        <x:v>Recycling</x:v>
      </x:c>
      <x:c r="D99" s="23" t="n">
        <x:v>12</x:v>
      </x:c>
      <x:c r="E99" s="23" t="n">
        <x:v>7.5</x:v>
      </x:c>
      <x:c r="F99" s="23" t="n">
        <x:v>30</x:v>
      </x:c>
      <x:c r="G99" s="23" t="n">
        <x:v>0</x:v>
      </x:c>
      <x:c r="H99" s="23" t="n">
        <x:v>0</x:v>
      </x:c>
      <x:c r="I99" s="23" t="n">
        <x:v>0</x:v>
      </x:c>
      <x:c r="J99" s="23" t="n">
        <x:v>46.75</x:v>
      </x:c>
      <x:c r="K99" s="26" t="n">
        <x:v>1</x:v>
      </x:c>
    </x:row>
    <x:row r="100" ht="22" customHeight="1">
      <x:c r="A100" s="8" t="n">
        <x:v>20250704</x:v>
      </x:c>
      <x:c r="B100" s="9" t="n">
        <x:v>45842</x:v>
      </x:c>
      <x:c r="C100" s="8" t="str">
        <x:v>Picking</x:v>
      </x:c>
      <x:c r="D100" s="23" t="n">
        <x:v>24</x:v>
      </x:c>
      <x:c r="E100" s="23" t="n">
        <x:v>7.5</x:v>
      </x:c>
      <x:c r="F100" s="23" t="n">
        <x:v>0</x:v>
      </x:c>
      <x:c r="G100" s="23" t="n">
        <x:v>0</x:v>
      </x:c>
      <x:c r="H100" s="23" t="n">
        <x:v>0</x:v>
      </x:c>
      <x:c r="I100" s="23" t="n">
        <x:v>0</x:v>
      </x:c>
      <x:c r="J100" s="23" t="n">
        <x:v>164</x:v>
      </x:c>
      <x:c r="K100" s="26" t="n">
        <x:v>1</x:v>
      </x:c>
    </x:row>
    <x:row r="101" ht="22" customHeight="1">
      <x:c r="A101" s="8" t="n">
        <x:v>20250705</x:v>
      </x:c>
      <x:c r="B101" s="9" t="n">
        <x:v>45843</x:v>
      </x:c>
      <x:c r="C101" s="8" t="str">
        <x:v> delivery </x:v>
      </x:c>
      <x:c r="D101" s="23" t="n">
        <x:v>28</x:v>
      </x:c>
      <x:c r="E101" s="23" t="n">
        <x:v>7.5</x:v>
      </x:c>
      <x:c r="F101" s="23" t="n">
        <x:v>0</x:v>
      </x:c>
      <x:c r="G101" s="23" t="n">
        <x:v>30</x:v>
      </x:c>
      <x:c r="H101" s="23" t="n">
        <x:v>0</x:v>
      </x:c>
      <x:c r="I101" s="23" t="n">
        <x:v>1.6</x:v>
      </x:c>
      <x:c r="J101" s="23" t="n">
        <x:v>581.5533980582524</x:v>
      </x:c>
      <x:c r="K101" s="26" t="n">
        <x:v>0.62</x:v>
      </x:c>
    </x:row>
    <x:row r="102" ht="22" customHeight="1">
      <x:c r="A102" s="8" t="n">
        <x:v>20250705</x:v>
      </x:c>
      <x:c r="B102" s="9" t="n">
        <x:v>45843</x:v>
      </x:c>
      <x:c r="C102" s="8" t="str">
        <x:v>Recycling</x:v>
      </x:c>
      <x:c r="D102" s="23" t="n">
        <x:v>12</x:v>
      </x:c>
      <x:c r="E102" s="23" t="n">
        <x:v>7.5</x:v>
      </x:c>
      <x:c r="F102" s="23" t="n">
        <x:v>30</x:v>
      </x:c>
      <x:c r="G102" s="23" t="n">
        <x:v>0</x:v>
      </x:c>
      <x:c r="H102" s="23" t="n">
        <x:v>0</x:v>
      </x:c>
      <x:c r="I102" s="23" t="n">
        <x:v>0</x:v>
      </x:c>
      <x:c r="J102" s="23" t="n">
        <x:v>43.75</x:v>
      </x:c>
      <x:c r="K102" s="26" t="n">
        <x:v>1</x:v>
      </x:c>
    </x:row>
    <x:row r="103" ht="22" customHeight="1">
      <x:c r="A103" s="8" t="n">
        <x:v>20250705</x:v>
      </x:c>
      <x:c r="B103" s="9" t="n">
        <x:v>45843</x:v>
      </x:c>
      <x:c r="C103" s="8" t="str">
        <x:v>Picking</x:v>
      </x:c>
      <x:c r="D103" s="23" t="n">
        <x:v>24</x:v>
      </x:c>
      <x:c r="E103" s="23" t="n">
        <x:v>7.5</x:v>
      </x:c>
      <x:c r="F103" s="23" t="n">
        <x:v>0</x:v>
      </x:c>
      <x:c r="G103" s="23" t="n">
        <x:v>0</x:v>
      </x:c>
      <x:c r="H103" s="23" t="n">
        <x:v>0</x:v>
      </x:c>
      <x:c r="I103" s="23" t="n">
        <x:v>0</x:v>
      </x:c>
      <x:c r="J103" s="23" t="n">
        <x:v>160</x:v>
      </x:c>
      <x:c r="K103" s="26" t="n">
        <x:v>1</x:v>
      </x:c>
    </x:row>
    <x:row r="104" ht="22" customHeight="1">
      <x:c r="A104" s="8" t="n">
        <x:v>20250706</x:v>
      </x:c>
      <x:c r="B104" s="9" t="n">
        <x:v>45844</x:v>
      </x:c>
      <x:c r="C104" s="8" t="str">
        <x:v>Delivery</x:v>
      </x:c>
      <x:c r="D104" s="23" t="n">
        <x:v>28</x:v>
      </x:c>
      <x:c r="E104" s="23" t="n">
        <x:v>7.5</x:v>
      </x:c>
      <x:c r="F104" s="23" t="n">
        <x:v>0</x:v>
      </x:c>
      <x:c r="G104" s="23" t="n">
        <x:v>30</x:v>
      </x:c>
      <x:c r="H104" s="23" t="n">
        <x:v>0</x:v>
      </x:c>
      <x:c r="I104" s="23" t="n">
        <x:v>1.6</x:v>
      </x:c>
      <x:c r="J104" s="23" t="n">
        <x:v>577.1844660194174</x:v>
      </x:c>
      <x:c r="K104" s="26" t="n">
        <x:v>0.62</x:v>
      </x:c>
    </x:row>
    <x:row r="105" ht="22" customHeight="1">
      <x:c r="A105" s="8" t="n">
        <x:v>20250706</x:v>
      </x:c>
      <x:c r="B105" s="9" t="n">
        <x:v>45844</x:v>
      </x:c>
      <x:c r="C105" s="8" t="str">
        <x:v>Recycling</x:v>
      </x:c>
      <x:c r="D105" s="23" t="n">
        <x:v>12</x:v>
      </x:c>
      <x:c r="E105" s="23" t="n">
        <x:v>7.5</x:v>
      </x:c>
      <x:c r="F105" s="23" t="n">
        <x:v>30</x:v>
      </x:c>
      <x:c r="G105" s="23" t="n">
        <x:v>0</x:v>
      </x:c>
      <x:c r="H105" s="23" t="n">
        <x:v>0</x:v>
      </x:c>
      <x:c r="I105" s="23" t="n">
        <x:v>0</x:v>
      </x:c>
      <x:c r="J105" s="23" t="n">
        <x:v>46.45</x:v>
      </x:c>
      <x:c r="K105" s="26" t="n">
        <x:v>1</x:v>
      </x:c>
    </x:row>
    <x:row r="106" ht="22" customHeight="1">
      <x:c r="A106" s="8" t="n">
        <x:v>20250706</x:v>
      </x:c>
      <x:c r="B106" s="9" t="n">
        <x:v>45844</x:v>
      </x:c>
      <x:c r="C106" s="8" t="str">
        <x:v>Picking</x:v>
      </x:c>
      <x:c r="D106" s="23" t="n">
        <x:v>24</x:v>
      </x:c>
      <x:c r="E106" s="23" t="n">
        <x:v>7.5</x:v>
      </x:c>
      <x:c r="F106" s="23" t="n">
        <x:v>0</x:v>
      </x:c>
      <x:c r="G106" s="23" t="n">
        <x:v>0</x:v>
      </x:c>
      <x:c r="H106" s="23" t="n">
        <x:v>0</x:v>
      </x:c>
      <x:c r="I106" s="23" t="n">
        <x:v>0</x:v>
      </x:c>
      <x:c r="J106" s="23" t="n">
        <x:v>163.6</x:v>
      </x:c>
      <x:c r="K106" s="26" t="n">
        <x:v>1</x:v>
      </x:c>
    </x:row>
    <x:row r="107" ht="22" customHeight="1">
      <x:c r="A107" s="8" t="n">
        <x:v>20250707</x:v>
      </x:c>
      <x:c r="B107" s="9" t="n">
        <x:v>45845</x:v>
      </x:c>
      <x:c r="C107" s="8" t="str">
        <x:v>Delivery</x:v>
      </x:c>
      <x:c r="D107" s="23" t="n">
        <x:v>28</x:v>
      </x:c>
      <x:c r="E107" s="23" t="n">
        <x:v>7.5</x:v>
      </x:c>
      <x:c r="F107" s="23" t="n">
        <x:v>0</x:v>
      </x:c>
      <x:c r="G107" s="23" t="n">
        <x:v>30</x:v>
      </x:c>
      <x:c r="H107" s="23" t="n">
        <x:v>0</x:v>
      </x:c>
      <x:c r="I107" s="23" t="n">
        <x:v>1.6</x:v>
      </x:c>
      <x:c r="J107" s="23" t="n">
        <x:v>565.5339805825242</x:v>
      </x:c>
      <x:c r="K107" s="26" t="n">
        <x:v>0.62</x:v>
      </x:c>
    </x:row>
    <x:row r="108" ht="22" customHeight="1">
      <x:c r="A108" s="8" t="n">
        <x:v>20250707</x:v>
      </x:c>
      <x:c r="B108" s="9" t="n">
        <x:v>45845</x:v>
      </x:c>
      <x:c r="C108" s="8" t="str">
        <x:v>Recycling</x:v>
      </x:c>
      <x:c r="D108" s="23" t="n">
        <x:v>12</x:v>
      </x:c>
      <x:c r="E108" s="23" t="n">
        <x:v>7.5</x:v>
      </x:c>
      <x:c r="F108" s="23" t="n">
        <x:v>30</x:v>
      </x:c>
      <x:c r="G108" s="23" t="n">
        <x:v>0</x:v>
      </x:c>
      <x:c r="H108" s="23" t="n">
        <x:v>0</x:v>
      </x:c>
      <x:c r="I108" s="23" t="n">
        <x:v>0</x:v>
      </x:c>
      <x:c r="J108" s="23" t="n">
        <x:v>44.2</x:v>
      </x:c>
      <x:c r="K108" s="26" t="n">
        <x:v>1</x:v>
      </x:c>
    </x:row>
    <x:row r="109" ht="22" customHeight="1">
      <x:c r="A109" s="8" t="n">
        <x:v>20250707</x:v>
      </x:c>
      <x:c r="B109" s="9" t="n">
        <x:v>45845</x:v>
      </x:c>
      <x:c r="C109" s="8" t="str">
        <x:v>Picking</x:v>
      </x:c>
      <x:c r="D109" s="23" t="n">
        <x:v>24</x:v>
      </x:c>
      <x:c r="E109" s="23" t="n">
        <x:v>7.5</x:v>
      </x:c>
      <x:c r="F109" s="23" t="n">
        <x:v>0</x:v>
      </x:c>
      <x:c r="G109" s="23" t="n">
        <x:v>0</x:v>
      </x:c>
      <x:c r="H109" s="23" t="n">
        <x:v>0</x:v>
      </x:c>
      <x:c r="I109" s="23" t="n">
        <x:v>0</x:v>
      </x:c>
      <x:c r="J109" s="23" t="n">
        <x:v>160.6</x:v>
      </x:c>
      <x:c r="K109" s="26" t="n">
        <x:v>1</x:v>
      </x:c>
    </x:row>
    <x:row r="110" ht="22" customHeight="1">
      <x:c r="A110" s="8" t="n">
        <x:v>20250708</x:v>
      </x:c>
      <x:c r="B110" s="9" t="n">
        <x:v>45846</x:v>
      </x:c>
      <x:c r="C110" s="8" t="str">
        <x:v>Delivery</x:v>
      </x:c>
      <x:c r="D110" s="23" t="n">
        <x:v>28</x:v>
      </x:c>
      <x:c r="E110" s="23" t="n">
        <x:v>7.5</x:v>
      </x:c>
      <x:c r="F110" s="23" t="n">
        <x:v>0</x:v>
      </x:c>
      <x:c r="G110" s="23" t="n">
        <x:v>30</x:v>
      </x:c>
      <x:c r="H110" s="23" t="n">
        <x:v>0</x:v>
      </x:c>
      <x:c r="I110" s="23" t="n">
        <x:v>1.6</x:v>
      </x:c>
      <x:c r="J110" s="23" t="n">
        <x:v>563.5922330097087</x:v>
      </x:c>
      <x:c r="K110" s="26" t="n">
        <x:v>0.62</x:v>
      </x:c>
    </x:row>
    <x:row r="111" ht="22" customHeight="1">
      <x:c r="A111" s="8" t="n">
        <x:v>20250708</x:v>
      </x:c>
      <x:c r="B111" s="9" t="n">
        <x:v>45846</x:v>
      </x:c>
      <x:c r="C111" s="8" t="str">
        <x:v>RECYCLING</x:v>
      </x:c>
      <x:c r="D111" s="23" t="n">
        <x:v>12</x:v>
      </x:c>
      <x:c r="E111" s="23" t="n">
        <x:v>7.5</x:v>
      </x:c>
      <x:c r="F111" s="23" t="n">
        <x:v>30</x:v>
      </x:c>
      <x:c r="G111" s="23" t="n">
        <x:v>0</x:v>
      </x:c>
      <x:c r="H111" s="23" t="n">
        <x:v>0</x:v>
      </x:c>
      <x:c r="I111" s="23" t="n">
        <x:v>0</x:v>
      </x:c>
      <x:c r="J111" s="23" t="n">
        <x:v>47.2</x:v>
      </x:c>
      <x:c r="K111" s="26" t="n">
        <x:v>1</x:v>
      </x:c>
    </x:row>
    <x:row r="112" ht="22" customHeight="1">
      <x:c r="A112" s="8" t="n">
        <x:v>20250708</x:v>
      </x:c>
      <x:c r="B112" s="9" t="n">
        <x:v>45846</x:v>
      </x:c>
      <x:c r="C112" s="8" t="str">
        <x:v>Picking</x:v>
      </x:c>
      <x:c r="D112" s="23" t="n">
        <x:v>24</x:v>
      </x:c>
      <x:c r="E112" s="23" t="n">
        <x:v>7.5</x:v>
      </x:c>
      <x:c r="F112" s="23" t="n">
        <x:v>0</x:v>
      </x:c>
      <x:c r="G112" s="23" t="n">
        <x:v>0</x:v>
      </x:c>
      <x:c r="H112" s="23" t="n">
        <x:v>0</x:v>
      </x:c>
      <x:c r="I112" s="23" t="n">
        <x:v>0</x:v>
      </x:c>
      <x:c r="J112" s="23" t="n">
        <x:v>164.6</x:v>
      </x:c>
      <x:c r="K112" s="26" t="n">
        <x:v>1</x:v>
      </x:c>
    </x:row>
    <x:row r="113" ht="22" customHeight="1">
      <x:c r="A113" s="8" t="n">
        <x:v>20250709</x:v>
      </x:c>
      <x:c r="B113" s="9" t="n">
        <x:v>45847</x:v>
      </x:c>
      <x:c r="C113" s="8" t="str">
        <x:v>Delivery</x:v>
      </x:c>
      <x:c r="D113" s="23" t="n">
        <x:v>28</x:v>
      </x:c>
      <x:c r="E113" s="23" t="n">
        <x:v>7.5</x:v>
      </x:c>
      <x:c r="F113" s="23" t="n">
        <x:v>0</x:v>
      </x:c>
      <x:c r="G113" s="23" t="n">
        <x:v>30</x:v>
      </x:c>
      <x:c r="H113" s="23" t="n">
        <x:v>0</x:v>
      </x:c>
      <x:c r="I113" s="23" t="n">
        <x:v>1.6</x:v>
      </x:c>
      <x:c r="J113" s="23" t="n">
        <x:v>566.504854368932</x:v>
      </x:c>
      <x:c r="K113" s="26" t="n">
        <x:v>0.62</x:v>
      </x:c>
    </x:row>
    <x:row r="114" ht="22" customHeight="1">
      <x:c r="A114" s="8" t="n">
        <x:v>20250709</x:v>
      </x:c>
      <x:c r="B114" s="9" t="n">
        <x:v>45847</x:v>
      </x:c>
      <x:c r="C114" s="8" t="str">
        <x:v>Recycling</x:v>
      </x:c>
      <x:c r="D114" s="23" t="n">
        <x:v>12</x:v>
      </x:c>
      <x:c r="E114" s="23" t="n">
        <x:v>7.5</x:v>
      </x:c>
      <x:c r="F114" s="23" t="n">
        <x:v>30</x:v>
      </x:c>
      <x:c r="G114" s="23" t="n">
        <x:v>0</x:v>
      </x:c>
      <x:c r="H114" s="23" t="n">
        <x:v>0</x:v>
      </x:c>
      <x:c r="I114" s="23" t="n">
        <x:v>0</x:v>
      </x:c>
      <x:c r="J114" s="23" t="n">
        <x:v>48.7</x:v>
      </x:c>
      <x:c r="K114" s="26" t="n">
        <x:v>1</x:v>
      </x:c>
    </x:row>
    <x:row r="115" ht="22" customHeight="1">
      <x:c r="A115" s="8" t="n">
        <x:v>20250709</x:v>
      </x:c>
      <x:c r="B115" s="9" t="n">
        <x:v>45847</x:v>
      </x:c>
      <x:c r="C115" s="8" t="str">
        <x:v>Picking</x:v>
      </x:c>
      <x:c r="D115" s="23" t="n">
        <x:v>24</x:v>
      </x:c>
      <x:c r="E115" s="23" t="n">
        <x:v>7.5</x:v>
      </x:c>
      <x:c r="F115" s="23" t="n">
        <x:v>0</x:v>
      </x:c>
      <x:c r="G115" s="23" t="n">
        <x:v>0</x:v>
      </x:c>
      <x:c r="H115" s="23" t="n">
        <x:v>0</x:v>
      </x:c>
      <x:c r="I115" s="23" t="n">
        <x:v>0</x:v>
      </x:c>
      <x:c r="J115" s="23" t="n">
        <x:v>166.6</x:v>
      </x:c>
      <x:c r="K115" s="26" t="n">
        <x:v>1</x:v>
      </x:c>
    </x:row>
    <x:row r="116" ht="22" customHeight="1">
      <x:c r="A116" s="8" t="n">
        <x:v>20250710</x:v>
      </x:c>
      <x:c r="B116" s="9" t="n">
        <x:v>45848</x:v>
      </x:c>
      <x:c r="C116" s="8" t="str">
        <x:v>Delivery</x:v>
      </x:c>
      <x:c r="D116" s="23" t="n">
        <x:v>28</x:v>
      </x:c>
      <x:c r="E116" s="23" t="n">
        <x:v>7.5</x:v>
      </x:c>
      <x:c r="F116" s="23" t="n">
        <x:v>0</x:v>
      </x:c>
      <x:c r="G116" s="23" t="n">
        <x:v>30</x:v>
      </x:c>
      <x:c r="H116" s="23" t="n">
        <x:v>0</x:v>
      </x:c>
      <x:c r="I116" s="23" t="n">
        <x:v>1.6</x:v>
      </x:c>
      <x:c r="J116" s="23" t="n">
        <x:v>557.2815533980582</x:v>
      </x:c>
      <x:c r="K116" s="26" t="n">
        <x:v>0.62</x:v>
      </x:c>
    </x:row>
    <x:row r="117" ht="22" customHeight="1">
      <x:c r="A117" s="8" t="n">
        <x:v>20250710</x:v>
      </x:c>
      <x:c r="B117" s="9" t="n">
        <x:v>45848</x:v>
      </x:c>
      <x:c r="C117" s="8" t="str">
        <x:v>Recycling</x:v>
      </x:c>
      <x:c r="D117" s="23" t="n">
        <x:v>12</x:v>
      </x:c>
      <x:c r="E117" s="23" t="n">
        <x:v>7.5</x:v>
      </x:c>
      <x:c r="F117" s="23" t="n">
        <x:v>30</x:v>
      </x:c>
      <x:c r="G117" s="23" t="n">
        <x:v>0</x:v>
      </x:c>
      <x:c r="H117" s="23" t="n">
        <x:v>0</x:v>
      </x:c>
      <x:c r="I117" s="23" t="n">
        <x:v>0</x:v>
      </x:c>
      <x:c r="J117" s="23" t="n">
        <x:v>44.95</x:v>
      </x:c>
      <x:c r="K117" s="26" t="n">
        <x:v>1</x:v>
      </x:c>
    </x:row>
    <x:row r="118" ht="22" customHeight="1">
      <x:c r="A118" s="8" t="n">
        <x:v>20250710</x:v>
      </x:c>
      <x:c r="B118" s="9" t="n">
        <x:v>45848</x:v>
      </x:c>
      <x:c r="C118" s="8" t="str">
        <x:v>Picking</x:v>
      </x:c>
      <x:c r="D118" s="23" t="n">
        <x:v>24</x:v>
      </x:c>
      <x:c r="E118" s="23" t="n">
        <x:v>7.5</x:v>
      </x:c>
      <x:c r="F118" s="23" t="n">
        <x:v>0</x:v>
      </x:c>
      <x:c r="G118" s="23" t="n">
        <x:v>0</x:v>
      </x:c>
      <x:c r="H118" s="23" t="n">
        <x:v>0</x:v>
      </x:c>
      <x:c r="I118" s="23" t="n">
        <x:v>0</x:v>
      </x:c>
      <x:c r="J118" s="23" t="n">
        <x:v>161.6</x:v>
      </x:c>
      <x:c r="K118" s="26" t="n">
        <x:v>1</x:v>
      </x:c>
    </x:row>
    <x:row r="119" ht="22" customHeight="1">
      <x:c r="A119" s="8" t="n">
        <x:v>20250711</x:v>
      </x:c>
      <x:c r="B119" s="9" t="n">
        <x:v>45849</x:v>
      </x:c>
      <x:c r="C119" s="8" t="str">
        <x:v>Delivery</x:v>
      </x:c>
      <x:c r="D119" s="23" t="n">
        <x:v>28</x:v>
      </x:c>
      <x:c r="E119" s="23" t="n">
        <x:v>7.5</x:v>
      </x:c>
      <x:c r="F119" s="23" t="n">
        <x:v>0</x:v>
      </x:c>
      <x:c r="G119" s="23" t="n">
        <x:v>30</x:v>
      </x:c>
      <x:c r="H119" s="23" t="n">
        <x:v>0</x:v>
      </x:c>
      <x:c r="I119" s="23" t="n">
        <x:v>1.6</x:v>
      </x:c>
      <x:c r="J119" s="23" t="n">
        <x:v>553.8834951456311</x:v>
      </x:c>
      <x:c r="K119" s="26" t="n">
        <x:v>0.62</x:v>
      </x:c>
    </x:row>
    <x:row r="120" ht="22" customHeight="1">
      <x:c r="A120" s="8" t="n">
        <x:v>20250711</x:v>
      </x:c>
      <x:c r="B120" s="9" t="n">
        <x:v>45849</x:v>
      </x:c>
      <x:c r="C120" s="8" t="str">
        <x:v>Recycling</x:v>
      </x:c>
      <x:c r="D120" s="23" t="n">
        <x:v>12</x:v>
      </x:c>
      <x:c r="E120" s="23" t="n">
        <x:v>7.5</x:v>
      </x:c>
      <x:c r="F120" s="23" t="n">
        <x:v>30</x:v>
      </x:c>
      <x:c r="G120" s="23" t="n">
        <x:v>0</x:v>
      </x:c>
      <x:c r="H120" s="23" t="n">
        <x:v>0</x:v>
      </x:c>
      <x:c r="I120" s="23" t="n">
        <x:v>0</x:v>
      </x:c>
      <x:c r="J120" s="23" t="n">
        <x:v>46.75</x:v>
      </x:c>
      <x:c r="K120" s="26" t="n">
        <x:v>1</x:v>
      </x:c>
    </x:row>
    <x:row r="121" ht="22" customHeight="1">
      <x:c r="A121" s="8" t="n">
        <x:v>20250711</x:v>
      </x:c>
      <x:c r="B121" s="9" t="n">
        <x:v>45849</x:v>
      </x:c>
      <x:c r="C121" s="8" t="str">
        <x:v>Picking</x:v>
      </x:c>
      <x:c r="D121" s="23" t="n">
        <x:v>24</x:v>
      </x:c>
      <x:c r="E121" s="23" t="n">
        <x:v>7.5</x:v>
      </x:c>
      <x:c r="F121" s="23" t="n">
        <x:v>0</x:v>
      </x:c>
      <x:c r="G121" s="23" t="n">
        <x:v>0</x:v>
      </x:c>
      <x:c r="H121" s="23" t="n">
        <x:v>0</x:v>
      </x:c>
      <x:c r="I121" s="23" t="n">
        <x:v>0</x:v>
      </x:c>
      <x:c r="J121" s="23" t="n">
        <x:v>164</x:v>
      </x:c>
      <x:c r="K121" s="26" t="n">
        <x:v>1</x:v>
      </x:c>
    </x:row>
    <x:row r="122" ht="22" customHeight="1">
      <x:c r="A122" s="8" t="n">
        <x:v>20250712</x:v>
      </x:c>
      <x:c r="B122" s="9" t="n">
        <x:v>45850</x:v>
      </x:c>
      <x:c r="C122" s="8" t="str">
        <x:v>Delivery</x:v>
      </x:c>
      <x:c r="D122" s="23" t="n">
        <x:v>28</x:v>
      </x:c>
      <x:c r="E122" s="23" t="n">
        <x:v>7.5</x:v>
      </x:c>
      <x:c r="F122" s="23" t="n">
        <x:v>0</x:v>
      </x:c>
      <x:c r="G122" s="23" t="n">
        <x:v>30</x:v>
      </x:c>
      <x:c r="H122" s="23" t="n">
        <x:v>0</x:v>
      </x:c>
      <x:c r="I122" s="23" t="n">
        <x:v>1.6</x:v>
      </x:c>
      <x:c r="J122" s="23" t="n">
        <x:v>540.7766990291262</x:v>
      </x:c>
      <x:c r="K122" s="26" t="n">
        <x:v>0.62</x:v>
      </x:c>
    </x:row>
    <x:row r="123" ht="22" customHeight="1">
      <x:c r="A123" s="8" t="n">
        <x:v>20250712</x:v>
      </x:c>
      <x:c r="B123" s="9" t="n">
        <x:v>45850</x:v>
      </x:c>
      <x:c r="C123" s="8" t="str">
        <x:v>Recycling</x:v>
      </x:c>
      <x:c r="D123" s="23" t="n">
        <x:v>12</x:v>
      </x:c>
      <x:c r="E123" s="23" t="n">
        <x:v>7.5</x:v>
      </x:c>
      <x:c r="F123" s="23" t="n">
        <x:v>30</x:v>
      </x:c>
      <x:c r="G123" s="23" t="n">
        <x:v>0</x:v>
      </x:c>
      <x:c r="H123" s="23" t="n">
        <x:v>0</x:v>
      </x:c>
      <x:c r="I123" s="23" t="n">
        <x:v>0</x:v>
      </x:c>
      <x:c r="J123" s="23" t="n">
        <x:v>43.75</x:v>
      </x:c>
      <x:c r="K123" s="26" t="n">
        <x:v>1</x:v>
      </x:c>
    </x:row>
    <x:row r="124" ht="22" customHeight="1">
      <x:c r="A124" s="8" t="n">
        <x:v>20250712</x:v>
      </x:c>
      <x:c r="B124" s="9" t="n">
        <x:v>45850</x:v>
      </x:c>
      <x:c r="C124" s="8" t="str">
        <x:v>Picking</x:v>
      </x:c>
      <x:c r="D124" s="23" t="n">
        <x:v>24</x:v>
      </x:c>
      <x:c r="E124" s="23" t="n">
        <x:v>7.5</x:v>
      </x:c>
      <x:c r="F124" s="23" t="n">
        <x:v>0</x:v>
      </x:c>
      <x:c r="G124" s="23" t="n">
        <x:v>0</x:v>
      </x:c>
      <x:c r="H124" s="23" t="n">
        <x:v>0</x:v>
      </x:c>
      <x:c r="I124" s="23" t="n">
        <x:v>0</x:v>
      </x:c>
      <x:c r="J124" s="23" t="n">
        <x:v>160</x:v>
      </x:c>
      <x:c r="K124" s="26" t="n">
        <x:v>1</x:v>
      </x:c>
    </x:row>
    <x:row r="125" ht="22" customHeight="1">
      <x:c r="A125" s="8" t="n">
        <x:v>20250713</x:v>
      </x:c>
      <x:c r="B125" s="9" t="n">
        <x:v>45851</x:v>
      </x:c>
      <x:c r="C125" s="8" t="str">
        <x:v>Delivery</x:v>
      </x:c>
      <x:c r="D125" s="23" t="n">
        <x:v>28</x:v>
      </x:c>
      <x:c r="E125" s="23" t="n">
        <x:v>7.5</x:v>
      </x:c>
      <x:c r="F125" s="23" t="n">
        <x:v>0</x:v>
      </x:c>
      <x:c r="G125" s="23" t="n">
        <x:v>30</x:v>
      </x:c>
      <x:c r="H125" s="23" t="n">
        <x:v>0</x:v>
      </x:c>
      <x:c r="I125" s="23" t="n">
        <x:v>1.6</x:v>
      </x:c>
      <x:c r="J125" s="23" t="n">
        <x:v>536.4077669902913</x:v>
      </x:c>
      <x:c r="K125" s="26" t="n">
        <x:v>0.62</x:v>
      </x:c>
    </x:row>
    <x:row r="126" ht="22" customHeight="1">
      <x:c r="A126" s="8" t="n">
        <x:v>20250713</x:v>
      </x:c>
      <x:c r="B126" s="9" t="n">
        <x:v>45851</x:v>
      </x:c>
      <x:c r="C126" s="8" t="str">
        <x:v>Recycling</x:v>
      </x:c>
      <x:c r="D126" s="23" t="n">
        <x:v>12</x:v>
      </x:c>
      <x:c r="E126" s="23" t="n">
        <x:v>7.5</x:v>
      </x:c>
      <x:c r="F126" s="23" t="n">
        <x:v>30</x:v>
      </x:c>
      <x:c r="G126" s="23" t="n">
        <x:v>0</x:v>
      </x:c>
      <x:c r="H126" s="23" t="n">
        <x:v>0</x:v>
      </x:c>
      <x:c r="I126" s="23" t="n">
        <x:v>0</x:v>
      </x:c>
      <x:c r="J126" s="23" t="n">
        <x:v>46.45</x:v>
      </x:c>
      <x:c r="K126" s="26" t="n">
        <x:v>1</x:v>
      </x:c>
    </x:row>
    <x:row r="127" ht="22" customHeight="1">
      <x:c r="A127" s="8" t="n">
        <x:v>20250713</x:v>
      </x:c>
      <x:c r="B127" s="9" t="n">
        <x:v>45851</x:v>
      </x:c>
      <x:c r="C127" s="8" t="str">
        <x:v>Picking</x:v>
      </x:c>
      <x:c r="D127" s="23" t="n">
        <x:v>24</x:v>
      </x:c>
      <x:c r="E127" s="23" t="n">
        <x:v>7.5</x:v>
      </x:c>
      <x:c r="F127" s="23" t="n">
        <x:v>0</x:v>
      </x:c>
      <x:c r="G127" s="23" t="n">
        <x:v>0</x:v>
      </x:c>
      <x:c r="H127" s="23" t="n">
        <x:v>0</x:v>
      </x:c>
      <x:c r="I127" s="23" t="n">
        <x:v>0</x:v>
      </x:c>
      <x:c r="J127" s="23" t="n">
        <x:v>163.6</x:v>
      </x:c>
      <x:c r="K127" s="2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77d5af871ae4fe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2" customHeight="1">
      <x:c r="A1" s="7" t="str">
        <x:v>DateKey</x:v>
      </x:c>
      <x:c r="B1" s="7" t="str">
        <x:v>Date</x:v>
      </x:c>
      <x:c r="C1" s="7" t="str">
        <x:v>DayIndex</x:v>
      </x:c>
      <x:c r="D1" s="7" t="str">
        <x:v>WeekIndex</x:v>
      </x:c>
      <x:c r="E1" s="7" t="str">
        <x:v>Phase</x:v>
      </x:c>
    </x:row>
    <x:row r="2" ht="22" customHeight="1">
      <x:c r="A2" s="5" t="n">
        <x:v>20250602</x:v>
      </x:c>
      <x:c r="B2" s="10" t="n">
        <x:v>45810</x:v>
      </x:c>
      <x:c r="C2" s="5" t="n">
        <x:v>1</x:v>
      </x:c>
      <x:c r="D2" s="5" t="n">
        <x:v>1</x:v>
      </x:c>
      <x:c r="E2" s="5" t="str">
        <x:v>Baseline</x:v>
      </x:c>
    </x:row>
    <x:row r="3" ht="22" customHeight="1">
      <x:c r="A3" s="5" t="n">
        <x:v>20250603</x:v>
      </x:c>
      <x:c r="B3" s="10" t="n">
        <x:v>45811</x:v>
      </x:c>
      <x:c r="C3" s="5" t="n">
        <x:v>2</x:v>
      </x:c>
      <x:c r="D3" s="5" t="n">
        <x:v>1</x:v>
      </x:c>
      <x:c r="E3" s="5" t="str">
        <x:v>Baseline</x:v>
      </x:c>
    </x:row>
    <x:row r="4" ht="22" customHeight="1">
      <x:c r="A4" s="5" t="n">
        <x:v>20250604</x:v>
      </x:c>
      <x:c r="B4" s="10" t="n">
        <x:v>45812</x:v>
      </x:c>
      <x:c r="C4" s="5" t="n">
        <x:v>3</x:v>
      </x:c>
      <x:c r="D4" s="5" t="n">
        <x:v>1</x:v>
      </x:c>
      <x:c r="E4" s="5" t="str">
        <x:v>Baseline</x:v>
      </x:c>
    </x:row>
    <x:row r="5" ht="22" customHeight="1">
      <x:c r="A5" s="5" t="n">
        <x:v>20250605</x:v>
      </x:c>
      <x:c r="B5" s="10" t="n">
        <x:v>45813</x:v>
      </x:c>
      <x:c r="C5" s="5" t="n">
        <x:v>4</x:v>
      </x:c>
      <x:c r="D5" s="5" t="n">
        <x:v>1</x:v>
      </x:c>
      <x:c r="E5" s="5" t="str">
        <x:v>Baseline</x:v>
      </x:c>
    </x:row>
    <x:row r="6" ht="22" customHeight="1">
      <x:c r="A6" s="5" t="n">
        <x:v>20250606</x:v>
      </x:c>
      <x:c r="B6" s="10" t="n">
        <x:v>45814</x:v>
      </x:c>
      <x:c r="C6" s="5" t="n">
        <x:v>5</x:v>
      </x:c>
      <x:c r="D6" s="5" t="n">
        <x:v>1</x:v>
      </x:c>
      <x:c r="E6" s="5" t="str">
        <x:v>Baseline</x:v>
      </x:c>
    </x:row>
    <x:row r="7" ht="22" customHeight="1">
      <x:c r="A7" s="5" t="n">
        <x:v>20250607</x:v>
      </x:c>
      <x:c r="B7" s="10" t="n">
        <x:v>45815</x:v>
      </x:c>
      <x:c r="C7" s="5" t="n">
        <x:v>6</x:v>
      </x:c>
      <x:c r="D7" s="5" t="n">
        <x:v>1</x:v>
      </x:c>
      <x:c r="E7" s="5" t="str">
        <x:v>Baseline</x:v>
      </x:c>
    </x:row>
    <x:row r="8" ht="22" customHeight="1">
      <x:c r="A8" s="5" t="n">
        <x:v>20250608</x:v>
      </x:c>
      <x:c r="B8" s="10" t="n">
        <x:v>45816</x:v>
      </x:c>
      <x:c r="C8" s="5" t="n">
        <x:v>7</x:v>
      </x:c>
      <x:c r="D8" s="5" t="n">
        <x:v>1</x:v>
      </x:c>
      <x:c r="E8" s="5" t="str">
        <x:v>Baseline</x:v>
      </x:c>
    </x:row>
    <x:row r="9" ht="22" customHeight="1">
      <x:c r="A9" s="5" t="n">
        <x:v>20250609</x:v>
      </x:c>
      <x:c r="B9" s="10" t="n">
        <x:v>45817</x:v>
      </x:c>
      <x:c r="C9" s="5" t="n">
        <x:v>8</x:v>
      </x:c>
      <x:c r="D9" s="5" t="n">
        <x:v>2</x:v>
      </x:c>
      <x:c r="E9" s="5" t="str">
        <x:v>Disruption</x:v>
      </x:c>
    </x:row>
    <x:row r="10" ht="22" customHeight="1">
      <x:c r="A10" s="5" t="n">
        <x:v>20250610</x:v>
      </x:c>
      <x:c r="B10" s="10" t="n">
        <x:v>45818</x:v>
      </x:c>
      <x:c r="C10" s="5" t="n">
        <x:v>9</x:v>
      </x:c>
      <x:c r="D10" s="5" t="n">
        <x:v>2</x:v>
      </x:c>
      <x:c r="E10" s="5" t="str">
        <x:v>Disruption</x:v>
      </x:c>
    </x:row>
    <x:row r="11" ht="22" customHeight="1">
      <x:c r="A11" s="5" t="n">
        <x:v>20250611</x:v>
      </x:c>
      <x:c r="B11" s="10" t="n">
        <x:v>45819</x:v>
      </x:c>
      <x:c r="C11" s="5" t="n">
        <x:v>10</x:v>
      </x:c>
      <x:c r="D11" s="5" t="n">
        <x:v>2</x:v>
      </x:c>
      <x:c r="E11" s="5" t="str">
        <x:v>Disruption</x:v>
      </x:c>
    </x:row>
    <x:row r="12" ht="22" customHeight="1">
      <x:c r="A12" s="5" t="n">
        <x:v>20250612</x:v>
      </x:c>
      <x:c r="B12" s="10" t="n">
        <x:v>45820</x:v>
      </x:c>
      <x:c r="C12" s="5" t="n">
        <x:v>11</x:v>
      </x:c>
      <x:c r="D12" s="5" t="n">
        <x:v>2</x:v>
      </x:c>
      <x:c r="E12" s="5" t="str">
        <x:v>Disruption</x:v>
      </x:c>
    </x:row>
    <x:row r="13" ht="22" customHeight="1">
      <x:c r="A13" s="5" t="n">
        <x:v>20250613</x:v>
      </x:c>
      <x:c r="B13" s="10" t="n">
        <x:v>45821</x:v>
      </x:c>
      <x:c r="C13" s="5" t="n">
        <x:v>12</x:v>
      </x:c>
      <x:c r="D13" s="5" t="n">
        <x:v>2</x:v>
      </x:c>
      <x:c r="E13" s="5" t="str">
        <x:v>Disruption</x:v>
      </x:c>
    </x:row>
    <x:row r="14" ht="22" customHeight="1">
      <x:c r="A14" s="5" t="n">
        <x:v>20250614</x:v>
      </x:c>
      <x:c r="B14" s="10" t="n">
        <x:v>45822</x:v>
      </x:c>
      <x:c r="C14" s="5" t="n">
        <x:v>13</x:v>
      </x:c>
      <x:c r="D14" s="5" t="n">
        <x:v>2</x:v>
      </x:c>
      <x:c r="E14" s="5" t="str">
        <x:v>Disruption</x:v>
      </x:c>
    </x:row>
    <x:row r="15" ht="22" customHeight="1">
      <x:c r="A15" s="5" t="n">
        <x:v>20250615</x:v>
      </x:c>
      <x:c r="B15" s="10" t="n">
        <x:v>45823</x:v>
      </x:c>
      <x:c r="C15" s="5" t="n">
        <x:v>14</x:v>
      </x:c>
      <x:c r="D15" s="5" t="n">
        <x:v>2</x:v>
      </x:c>
      <x:c r="E15" s="5" t="str">
        <x:v>Disruption</x:v>
      </x:c>
    </x:row>
    <x:row r="16" ht="22" customHeight="1">
      <x:c r="A16" s="5" t="n">
        <x:v>20250616</x:v>
      </x:c>
      <x:c r="B16" s="10" t="n">
        <x:v>45824</x:v>
      </x:c>
      <x:c r="C16" s="5" t="n">
        <x:v>15</x:v>
      </x:c>
      <x:c r="D16" s="5" t="n">
        <x:v>3</x:v>
      </x:c>
      <x:c r="E16" s="5" t="str">
        <x:v>Disruption</x:v>
      </x:c>
    </x:row>
    <x:row r="17" ht="22" customHeight="1">
      <x:c r="A17" s="5" t="n">
        <x:v>20250617</x:v>
      </x:c>
      <x:c r="B17" s="10" t="n">
        <x:v>45825</x:v>
      </x:c>
      <x:c r="C17" s="5" t="n">
        <x:v>16</x:v>
      </x:c>
      <x:c r="D17" s="5" t="n">
        <x:v>3</x:v>
      </x:c>
      <x:c r="E17" s="5" t="str">
        <x:v>Disruption</x:v>
      </x:c>
    </x:row>
    <x:row r="18" ht="22" customHeight="1">
      <x:c r="A18" s="5" t="n">
        <x:v>20250618</x:v>
      </x:c>
      <x:c r="B18" s="10" t="n">
        <x:v>45826</x:v>
      </x:c>
      <x:c r="C18" s="5" t="n">
        <x:v>17</x:v>
      </x:c>
      <x:c r="D18" s="5" t="n">
        <x:v>3</x:v>
      </x:c>
      <x:c r="E18" s="5" t="str">
        <x:v>Disruption</x:v>
      </x:c>
    </x:row>
    <x:row r="19" ht="22" customHeight="1">
      <x:c r="A19" s="5" t="n">
        <x:v>20250619</x:v>
      </x:c>
      <x:c r="B19" s="10" t="n">
        <x:v>45827</x:v>
      </x:c>
      <x:c r="C19" s="5" t="n">
        <x:v>18</x:v>
      </x:c>
      <x:c r="D19" s="5" t="n">
        <x:v>3</x:v>
      </x:c>
      <x:c r="E19" s="5" t="str">
        <x:v>Disruption</x:v>
      </x:c>
    </x:row>
    <x:row r="20" ht="22" customHeight="1">
      <x:c r="A20" s="5" t="n">
        <x:v>20250620</x:v>
      </x:c>
      <x:c r="B20" s="10" t="n">
        <x:v>45828</x:v>
      </x:c>
      <x:c r="C20" s="5" t="n">
        <x:v>19</x:v>
      </x:c>
      <x:c r="D20" s="5" t="n">
        <x:v>3</x:v>
      </x:c>
      <x:c r="E20" s="5" t="str">
        <x:v>Disruption</x:v>
      </x:c>
    </x:row>
    <x:row r="21" ht="22" customHeight="1">
      <x:c r="A21" s="5" t="n">
        <x:v>20250621</x:v>
      </x:c>
      <x:c r="B21" s="10" t="n">
        <x:v>45829</x:v>
      </x:c>
      <x:c r="C21" s="5" t="n">
        <x:v>20</x:v>
      </x:c>
      <x:c r="D21" s="5" t="n">
        <x:v>3</x:v>
      </x:c>
      <x:c r="E21" s="5" t="str">
        <x:v>Disruption</x:v>
      </x:c>
    </x:row>
    <x:row r="22" ht="22" customHeight="1">
      <x:c r="A22" s="5" t="n">
        <x:v>20250622</x:v>
      </x:c>
      <x:c r="B22" s="10" t="n">
        <x:v>45830</x:v>
      </x:c>
      <x:c r="C22" s="5" t="n">
        <x:v>21</x:v>
      </x:c>
      <x:c r="D22" s="5" t="n">
        <x:v>3</x:v>
      </x:c>
      <x:c r="E22" s="5" t="str">
        <x:v>Disruption</x:v>
      </x:c>
    </x:row>
    <x:row r="23" ht="22" customHeight="1">
      <x:c r="A23" s="5" t="n">
        <x:v>20250623</x:v>
      </x:c>
      <x:c r="B23" s="10" t="n">
        <x:v>45831</x:v>
      </x:c>
      <x:c r="C23" s="5" t="n">
        <x:v>22</x:v>
      </x:c>
      <x:c r="D23" s="5" t="n">
        <x:v>4</x:v>
      </x:c>
      <x:c r="E23" s="5" t="str">
        <x:v>Reassignment</x:v>
      </x:c>
    </x:row>
    <x:row r="24" ht="22" customHeight="1">
      <x:c r="A24" s="5" t="n">
        <x:v>20250624</x:v>
      </x:c>
      <x:c r="B24" s="10" t="n">
        <x:v>45832</x:v>
      </x:c>
      <x:c r="C24" s="5" t="n">
        <x:v>23</x:v>
      </x:c>
      <x:c r="D24" s="5" t="n">
        <x:v>4</x:v>
      </x:c>
      <x:c r="E24" s="5" t="str">
        <x:v>Reassignment</x:v>
      </x:c>
    </x:row>
    <x:row r="25" ht="22" customHeight="1">
      <x:c r="A25" s="5" t="n">
        <x:v>20250625</x:v>
      </x:c>
      <x:c r="B25" s="10" t="n">
        <x:v>45833</x:v>
      </x:c>
      <x:c r="C25" s="5" t="n">
        <x:v>24</x:v>
      </x:c>
      <x:c r="D25" s="5" t="n">
        <x:v>4</x:v>
      </x:c>
      <x:c r="E25" s="5" t="str">
        <x:v>Reassignment</x:v>
      </x:c>
    </x:row>
    <x:row r="26" ht="22" customHeight="1">
      <x:c r="A26" s="5" t="n">
        <x:v>20250626</x:v>
      </x:c>
      <x:c r="B26" s="10" t="n">
        <x:v>45834</x:v>
      </x:c>
      <x:c r="C26" s="5" t="n">
        <x:v>25</x:v>
      </x:c>
      <x:c r="D26" s="5" t="n">
        <x:v>4</x:v>
      </x:c>
      <x:c r="E26" s="5" t="str">
        <x:v>Reassignment</x:v>
      </x:c>
    </x:row>
    <x:row r="27" ht="22" customHeight="1">
      <x:c r="A27" s="5" t="n">
        <x:v>20250627</x:v>
      </x:c>
      <x:c r="B27" s="10" t="n">
        <x:v>45835</x:v>
      </x:c>
      <x:c r="C27" s="5" t="n">
        <x:v>26</x:v>
      </x:c>
      <x:c r="D27" s="5" t="n">
        <x:v>4</x:v>
      </x:c>
      <x:c r="E27" s="5" t="str">
        <x:v>Reassignment</x:v>
      </x:c>
    </x:row>
    <x:row r="28" ht="22" customHeight="1">
      <x:c r="A28" s="5" t="n">
        <x:v>20250628</x:v>
      </x:c>
      <x:c r="B28" s="10" t="n">
        <x:v>45836</x:v>
      </x:c>
      <x:c r="C28" s="5" t="n">
        <x:v>27</x:v>
      </x:c>
      <x:c r="D28" s="5" t="n">
        <x:v>4</x:v>
      </x:c>
      <x:c r="E28" s="5" t="str">
        <x:v>Reassignment</x:v>
      </x:c>
    </x:row>
    <x:row r="29" ht="22" customHeight="1">
      <x:c r="A29" s="5" t="n">
        <x:v>20250629</x:v>
      </x:c>
      <x:c r="B29" s="10" t="n">
        <x:v>45837</x:v>
      </x:c>
      <x:c r="C29" s="5" t="n">
        <x:v>28</x:v>
      </x:c>
      <x:c r="D29" s="5" t="n">
        <x:v>4</x:v>
      </x:c>
      <x:c r="E29" s="5" t="str">
        <x:v>Reassignment</x:v>
      </x:c>
    </x:row>
    <x:row r="30" ht="22" customHeight="1">
      <x:c r="A30" s="5" t="n">
        <x:v>20250630</x:v>
      </x:c>
      <x:c r="B30" s="10" t="n">
        <x:v>45838</x:v>
      </x:c>
      <x:c r="C30" s="5" t="n">
        <x:v>29</x:v>
      </x:c>
      <x:c r="D30" s="5" t="n">
        <x:v>5</x:v>
      </x:c>
      <x:c r="E30" s="5" t="str">
        <x:v>Reassignment</x:v>
      </x:c>
    </x:row>
    <x:row r="31" ht="22" customHeight="1">
      <x:c r="A31" s="5" t="n">
        <x:v>20250701</x:v>
      </x:c>
      <x:c r="B31" s="10" t="n">
        <x:v>45839</x:v>
      </x:c>
      <x:c r="C31" s="5" t="n">
        <x:v>30</x:v>
      </x:c>
      <x:c r="D31" s="5" t="n">
        <x:v>5</x:v>
      </x:c>
      <x:c r="E31" s="5" t="str">
        <x:v>Reassignment</x:v>
      </x:c>
    </x:row>
    <x:row r="32" ht="22" customHeight="1">
      <x:c r="A32" s="5" t="n">
        <x:v>20250702</x:v>
      </x:c>
      <x:c r="B32" s="10" t="n">
        <x:v>45840</x:v>
      </x:c>
      <x:c r="C32" s="5" t="n">
        <x:v>31</x:v>
      </x:c>
      <x:c r="D32" s="5" t="n">
        <x:v>5</x:v>
      </x:c>
      <x:c r="E32" s="5" t="str">
        <x:v>Reassignment</x:v>
      </x:c>
    </x:row>
    <x:row r="33" ht="22" customHeight="1">
      <x:c r="A33" s="5" t="n">
        <x:v>20250703</x:v>
      </x:c>
      <x:c r="B33" s="10" t="n">
        <x:v>45841</x:v>
      </x:c>
      <x:c r="C33" s="5" t="n">
        <x:v>32</x:v>
      </x:c>
      <x:c r="D33" s="5" t="n">
        <x:v>5</x:v>
      </x:c>
      <x:c r="E33" s="5" t="str">
        <x:v>Reassignment</x:v>
      </x:c>
    </x:row>
    <x:row r="34" ht="22" customHeight="1">
      <x:c r="A34" s="5" t="n">
        <x:v>20250704</x:v>
      </x:c>
      <x:c r="B34" s="10" t="n">
        <x:v>45842</x:v>
      </x:c>
      <x:c r="C34" s="5" t="n">
        <x:v>33</x:v>
      </x:c>
      <x:c r="D34" s="5" t="n">
        <x:v>5</x:v>
      </x:c>
      <x:c r="E34" s="5" t="str">
        <x:v>Reassignment</x:v>
      </x:c>
    </x:row>
    <x:row r="35" ht="22" customHeight="1">
      <x:c r="A35" s="5" t="n">
        <x:v>20250705</x:v>
      </x:c>
      <x:c r="B35" s="10" t="n">
        <x:v>45843</x:v>
      </x:c>
      <x:c r="C35" s="5" t="n">
        <x:v>34</x:v>
      </x:c>
      <x:c r="D35" s="5" t="n">
        <x:v>5</x:v>
      </x:c>
      <x:c r="E35" s="5" t="str">
        <x:v>Reassignment</x:v>
      </x:c>
    </x:row>
    <x:row r="36" ht="22" customHeight="1">
      <x:c r="A36" s="5" t="n">
        <x:v>20250706</x:v>
      </x:c>
      <x:c r="B36" s="10" t="n">
        <x:v>45844</x:v>
      </x:c>
      <x:c r="C36" s="5" t="n">
        <x:v>35</x:v>
      </x:c>
      <x:c r="D36" s="5" t="n">
        <x:v>5</x:v>
      </x:c>
      <x:c r="E36" s="5" t="str">
        <x:v>Reassignment</x:v>
      </x:c>
    </x:row>
    <x:row r="37" ht="22" customHeight="1">
      <x:c r="A37" s="5" t="n">
        <x:v>20250707</x:v>
      </x:c>
      <x:c r="B37" s="10" t="n">
        <x:v>45845</x:v>
      </x:c>
      <x:c r="C37" s="5" t="n">
        <x:v>36</x:v>
      </x:c>
      <x:c r="D37" s="5" t="n">
        <x:v>6</x:v>
      </x:c>
      <x:c r="E37" s="5" t="str">
        <x:v>Reassignment</x:v>
      </x:c>
    </x:row>
    <x:row r="38" ht="22" customHeight="1">
      <x:c r="A38" s="5" t="n">
        <x:v>20250708</x:v>
      </x:c>
      <x:c r="B38" s="10" t="n">
        <x:v>45846</x:v>
      </x:c>
      <x:c r="C38" s="5" t="n">
        <x:v>37</x:v>
      </x:c>
      <x:c r="D38" s="5" t="n">
        <x:v>6</x:v>
      </x:c>
      <x:c r="E38" s="5" t="str">
        <x:v>Reassignment</x:v>
      </x:c>
    </x:row>
    <x:row r="39" ht="22" customHeight="1">
      <x:c r="A39" s="5" t="n">
        <x:v>20250709</x:v>
      </x:c>
      <x:c r="B39" s="10" t="n">
        <x:v>45847</x:v>
      </x:c>
      <x:c r="C39" s="5" t="n">
        <x:v>38</x:v>
      </x:c>
      <x:c r="D39" s="5" t="n">
        <x:v>6</x:v>
      </x:c>
      <x:c r="E39" s="5" t="str">
        <x:v>Reassignment</x:v>
      </x:c>
    </x:row>
    <x:row r="40" ht="22" customHeight="1">
      <x:c r="A40" s="5" t="n">
        <x:v>20250710</x:v>
      </x:c>
      <x:c r="B40" s="10" t="n">
        <x:v>45848</x:v>
      </x:c>
      <x:c r="C40" s="5" t="n">
        <x:v>39</x:v>
      </x:c>
      <x:c r="D40" s="5" t="n">
        <x:v>6</x:v>
      </x:c>
      <x:c r="E40" s="5" t="str">
        <x:v>Reassignment</x:v>
      </x:c>
    </x:row>
    <x:row r="41" ht="22" customHeight="1">
      <x:c r="A41" s="5" t="n">
        <x:v>20250711</x:v>
      </x:c>
      <x:c r="B41" s="10" t="n">
        <x:v>45849</x:v>
      </x:c>
      <x:c r="C41" s="5" t="n">
        <x:v>40</x:v>
      </x:c>
      <x:c r="D41" s="5" t="n">
        <x:v>6</x:v>
      </x:c>
      <x:c r="E41" s="5" t="str">
        <x:v>Reassignment</x:v>
      </x:c>
    </x:row>
    <x:row r="42" ht="22" customHeight="1">
      <x:c r="A42" s="5" t="n">
        <x:v>20250712</x:v>
      </x:c>
      <x:c r="B42" s="10" t="n">
        <x:v>45850</x:v>
      </x:c>
      <x:c r="C42" s="5" t="n">
        <x:v>41</x:v>
      </x:c>
      <x:c r="D42" s="5" t="n">
        <x:v>6</x:v>
      </x:c>
      <x:c r="E42" s="5" t="str">
        <x:v>Reassignment</x:v>
      </x:c>
    </x:row>
    <x:row r="43" ht="22" customHeight="1">
      <x:c r="A43" s="5" t="n">
        <x:v>20250713</x:v>
      </x:c>
      <x:c r="B43" s="10" t="n">
        <x:v>45851</x:v>
      </x:c>
      <x:c r="C43" s="5" t="n">
        <x:v>42</x:v>
      </x:c>
      <x:c r="D43" s="5" t="n">
        <x:v>6</x:v>
      </x:c>
      <x:c r="E43" s="5" t="str">
        <x:v>Reassignment</x:v>
      </x:c>
    </x:row>
  </x:sheetData>
  <x:pageMargins left="0.7" right="0.7" top="0.75" bottom="0.75" header="0.3" footer="0.3"/>
  <x:tableParts count="1">
    <x:tablePart xmlns:r="http://schemas.openxmlformats.org/officeDocument/2006/relationships" r:id="R0f9e70fb12034b2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7" hidden="0" customWidth="1"/>
  </x:cols>
  <x:sheetData>
    <x:row r="1" ht="22" customHeight="1">
      <x:c r="A1" s="7" t="str">
        <x:v>DepartmentKey</x:v>
      </x:c>
      <x:c r="B1" s="7" t="str">
        <x:v>Department</x:v>
      </x:c>
      <x:c r="C1" s="7" t="str">
        <x:v>Unit</x:v>
      </x:c>
    </x:row>
    <x:row r="2" ht="22" customHeight="1">
      <x:c r="A2" s="5" t="str">
        <x:v>DEL</x:v>
      </x:c>
      <x:c r="B2" s="5" t="str">
        <x:v>Delivery</x:v>
      </x:c>
      <x:c r="C2" s="5" t="str">
        <x:v>Orders</x:v>
      </x:c>
    </x:row>
    <x:row r="3" ht="22" customHeight="1">
      <x:c r="A3" s="5" t="str">
        <x:v>REC</x:v>
      </x:c>
      <x:c r="B3" s="5" t="str">
        <x:v>Recycling</x:v>
      </x:c>
      <x:c r="C3" s="5" t="str">
        <x:v>Effective labour hours</x:v>
      </x:c>
    </x:row>
    <x:row r="4" ht="22" customHeight="1">
      <x:c r="A4" s="5" t="str">
        <x:v>PCK</x:v>
      </x:c>
      <x:c r="B4" s="5" t="str">
        <x:v>Picking</x:v>
      </x:c>
      <x:c r="C4" s="5" t="str">
        <x:v>Effective labour hours</x:v>
      </x:c>
    </x:row>
  </x:sheetData>
  <x:pageMargins left="0.7" right="0.7" top="0.75" bottom="0.75" header="0.3" footer="0.3"/>
  <x:tableParts count="1">
    <x:tablePart xmlns:r="http://schemas.openxmlformats.org/officeDocument/2006/relationships" r:id="R6831dfc6bfbd4b5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8" hidden="0" customWidth="1"/>
  </x:cols>
  <x:sheetData>
    <x:row r="1" ht="34" customHeight="1">
      <x:c r="A1" s="24" t="str">
        <x:v>Topic</x:v>
      </x:c>
      <x:c r="B1" s="24" t="str">
        <x:v>Explanation</x:v>
      </x:c>
    </x:row>
    <x:row r="2" ht="34" customHeight="1">
      <x:c r="A2" s="25" t="str">
        <x:v>Inspiration</x:v>
      </x:c>
      <x:c r="B2" s="25" t="str">
        <x:v>Personal observations of warehouse disruption during 2025.</x:v>
      </x:c>
    </x:row>
    <x:row r="3" ht="34" customHeight="1">
      <x:c r="A3" s="25" t="str">
        <x:v>Data boundary</x:v>
      </x:c>
      <x:c r="B3" s="25" t="str">
        <x:v>All figures, dates, staffing and outcomes are fictional. No company records or documents used.</x:v>
      </x:c>
    </x:row>
    <x:row r="4" ht="34" customHeight="1">
      <x:c r="A4" s="25" t="str">
        <x:v>Independence</x:v>
      </x:c>
      <x:c r="B4" s="25" t="str">
        <x:v>Independent portfolio simulation; not a reconstruction of, affiliated with or endorsed by Co-op.</x:v>
      </x:c>
    </x:row>
    <x:row r="5" ht="34" customHeight="1">
      <x:c r="A5" s="25" t="str">
        <x:v>Start here</x:v>
      </x:c>
      <x:c r="B5" s="25" t="str">
        <x:v>Dashboard -&gt; Daily Flow / Labour calculations -&gt; Raw Delivery / Raw Labour inputs.</x:v>
      </x:c>
    </x:row>
    <x:row r="6" ht="34" customHeight="1">
      <x:c r="A6" s="25" t="str">
        <x:v>Grain</x:v>
      </x:c>
      <x:c r="B6" s="25" t="str">
        <x:v>42 delivery dates; 126 date-department labour rows; three departments.</x:v>
      </x:c>
    </x:row>
    <x:row r="7" ht="34" customHeight="1">
      <x:c r="A7" s="25" t="str">
        <x:v>Forecasting status</x:v>
      </x:c>
      <x:c r="B7" s="25" t="str">
        <x:v>This is a capacity/backlog simulation, not a forecast or causal impact study.</x:v>
      </x:c>
    </x:row>
    <x:row r="8" ht="34" customHeight="1">
      <x:c r="A8" s="25" t="str">
        <x:v>Scenario</x:v>
      </x:c>
      <x:c r="B8" s="25" t="str">
        <x:v>One site, 7.5-hour daily shift; 28 delivery, 12 recycling and 24 picking home workers.</x:v>
      </x:c>
    </x:row>
    <x:row r="9" ht="34" customHeight="1">
      <x:c r="A9" s="25" t="str">
        <x:v>Delivery rate</x:v>
      </x:c>
      <x:c r="B9" s="25" t="str">
        <x:v>Assumed orders per effective hour: 2.45 baseline, 1.88 disruption, 2.06 reassignment.</x:v>
      </x:c>
    </x:row>
    <x:row r="10" ht="34" customHeight="1">
      <x:c r="A10" s="25" t="str">
        <x:v>Transfers</x:v>
      </x:c>
      <x:c r="B10" s="25" t="str">
        <x:v>Two workers move on days 22-24, four from day 25; training and mentoring use paid hours.</x:v>
      </x:c>
    </x:row>
    <x:row r="11" ht="34" customHeight="1">
      <x:c r="A11" s="25" t="str">
        <x:v>Backlog</x:v>
      </x:c>
      <x:c r="B11" s="25" t="str">
        <x:v>Opening + incoming - completed = closing. Never sum daily closing balances.</x:v>
      </x:c>
    </x:row>
    <x:row r="12" ht="34" customHeight="1">
      <x:c r="A12" s="25" t="str">
        <x:v>Productivity</x:v>
      </x:c>
      <x:c r="B12" s="25" t="str">
        <x:v>Total completed orders / total native and transferred paid hours, including training time.</x:v>
      </x:c>
    </x:row>
    <x:row r="13" ht="34" customHeight="1">
      <x:c r="A13" s="25" t="str">
        <x:v>Department load</x:v>
      </x:c>
      <x:c r="B13" s="25" t="str">
        <x:v>Required / effective available hours; LoadCapped is capped at 100% and hides overload.</x:v>
      </x:c>
    </x:row>
    <x:row r="14" ht="34" customHeight="1">
      <x:c r="A14" s="25" t="str">
        <x:v>Cleaning</x:v>
      </x:c>
      <x:c r="B14" s="25" t="str">
        <x:v>Trim/lowercase department labels; map only delivery/recycling/picking. Unknown labels show UNMAPPED.</x:v>
      </x:c>
    </x:row>
    <x:row r="15" ht="34" customHeight="1">
      <x:c r="A15" s="25" t="str">
        <x:v>Editing</x:v>
      </x:c>
      <x:c r="B15" s="25" t="str">
        <x:v>Raw inputs update the fixed 42-day formulas; CSVs are static and need re-export after changes.</x:v>
      </x:c>
    </x:row>
    <x:row r="16" ht="34" customHeight="1">
      <x:c r="A16" s="25" t="str">
        <x:v>Limits</x:v>
      </x:c>
      <x:c r="B16" s="25" t="str">
        <x:v>Demand and native productivity also change. No measured intervention effect, SLA or financial outcome.</x:v>
      </x:c>
    </x:row>
    <x:row r="17" ht="34" customHeight="1">
      <x:c r="A17" s="25" t="str">
        <x:v>Power BI</x:v>
      </x:c>
      <x:c r="B17" s="25" t="str">
        <x:v>Proposed model and DAX only; see docs/PowerBI_Model.md. No finished PBIX is supplied.</x:v>
      </x:c>
    </x:row>
    <x:row r="18" ht="52" customHeight="1">
      <x:c r="A18" s="5"/>
      <x:c r="B18" s="14"/>
    </x:row>
    <x:row r="19" ht="52" customHeight="1">
      <x:c r="A19" s="5"/>
      <x:c r="B19" s="14"/>
    </x:row>
    <x:row r="20" ht="52" customHeight="1">
      <x:c r="A20" s="5"/>
      <x:c r="B20" s="14"/>
    </x:row>
    <x:row r="21" ht="52" customHeight="1">
      <x:c r="A21" s="5"/>
      <x:c r="B21" s="14"/>
    </x:row>
  </x:sheetData>
  <x:pageMargins left="0.7" right="0.7" top="0.75" bottom="0.75" header="0.3" footer="0.3"/>
  <x:tableParts count="1">
    <x:tablePart xmlns:r="http://schemas.openxmlformats.org/officeDocument/2006/relationships" r:id="R800fb5d0d7eb4d34"/>
  </x:tableParts>
</x:worksheet>
</file>