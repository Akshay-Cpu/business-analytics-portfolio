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d9b5a76e2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54d93aeed244ce7"/>
    <x:sheet xmlns:r="http://schemas.openxmlformats.org/officeDocument/2006/relationships" name="Analysis" sheetId="2" r:id="R9a4e7e1946f74d6a"/>
    <x:sheet xmlns:r="http://schemas.openxmlformats.org/officeDocument/2006/relationships" name="Daily inputs" sheetId="3" r:id="R7fcb23de0d964cae"/>
    <x:sheet xmlns:r="http://schemas.openxmlformats.org/officeDocument/2006/relationships" name="Items" sheetId="4" r:id="R36b51241c3ed4728"/>
    <x:sheet xmlns:r="http://schemas.openxmlformats.org/officeDocument/2006/relationships" name="Notes" sheetId="5" r:id="Rfaa0ae0c70e3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 mmm yyyy"/>
    <x:numFmt numFmtId="201" formatCode="&quot;£&quot;0.00"/>
    <x:numFmt numFmtId="202" formatCode="&quot;£&quot;#,##0.00"/>
    <x:numFmt numFmtId="203" formatCode="0.0%"/>
    <x:numFmt numFmtId="204" formatCode="&quot;£&quot;#,##0"/>
    <x:numFmt numFmtId="205" formatCode="#,##0"/>
    <x:numFmt numFmtId="206" formatCode="dd mmm"/>
    <x:numFmt numFmtId="207" formatCode="0.00&quot;x&quot;"/>
  </x:numFmts>
  <x:fonts count="4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6"/>
      <x:color rgb="FF2434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8"/>
      </x:patternFill>
    </x:fill>
    <x:fill>
      <x:patternFill patternType="solid">
        <x:fgColor rgb="FFFFF2C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7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3924"/>
      </x:font>
      <x:fill>
        <x:patternFill>
          <x:bgColor rgb="FFFCE7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5a4f4cdba45f7" /><Relationship Type="http://schemas.openxmlformats.org/officeDocument/2006/relationships/theme" Target="/xl/theme/theme1.xml" Id="R3ca49085121a40e5" /><Relationship Type="http://schemas.openxmlformats.org/officeDocument/2006/relationships/sharedStrings" Target="/xl/sharedStrings.xml" Id="R03ab1393f33149e8" /><Relationship Type="http://schemas.openxmlformats.org/officeDocument/2006/relationships/worksheet" Target="/xl/worksheets/sheet1.xml" Id="Re54d93aeed244ce7" /><Relationship Type="http://schemas.openxmlformats.org/officeDocument/2006/relationships/worksheet" Target="/xl/worksheets/sheet2.xml" Id="R9a4e7e1946f74d6a" /><Relationship Type="http://schemas.openxmlformats.org/officeDocument/2006/relationships/worksheet" Target="/xl/worksheets/sheet3.xml" Id="R7fcb23de0d964cae" /><Relationship Type="http://schemas.openxmlformats.org/officeDocument/2006/relationships/worksheet" Target="/xl/worksheets/sheet4.xml" Id="R36b51241c3ed4728" /><Relationship Type="http://schemas.openxmlformats.org/officeDocument/2006/relationships/worksheet" Target="/xl/worksheets/sheet5.xml" Id="Rfaa0ae0c70e341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0b6cccdb0347a4" /><Relationship Type="http://schemas.openxmlformats.org/officeDocument/2006/relationships/chart" Target="/xl/drawings/charts/chart2.xml" Id="R5f695cac6b3b44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December demand and forecasts (units)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Demand</c:v>
          </c:tx>
          <c:spPr>
            <a:solidFill xmlns:a="http://schemas.openxmlformats.org/drawingml/2006/main">
              <a:srgbClr val="203B58"/>
            </a:solidFill>
            <a:ln xmlns:a="http://schemas.openxmlformats.org/drawingml/2006/main" w="19050">
              <a:solidFill>
                <a:srgbClr val="203B58"/>
              </a:solidFill>
              <a:prstDash val="solid"/>
            </a:ln>
          </c:spPr>
          <c:marker>
            <c:symbol val="none"/>
          </c:marker>
          <c:cat>
            <c:strRef>
              <c:f>'Dashboard'!$I$49:$I$79</c:f>
              <c:strCache>
                <c:ptCount val="0"/>
              </c:strCache>
            </c:strRef>
          </c:cat>
          <c:val>
            <c:numRef>
              <c:f>'Dashboard'!$J$49:$J$79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 forecast</c:v>
          </c:tx>
          <c:spPr>
            <a:solidFill xmlns:a="http://schemas.openxmlformats.org/drawingml/2006/main">
              <a:srgbClr val="D46A42"/>
            </a:solidFill>
            <a:ln xmlns:a="http://schemas.openxmlformats.org/drawingml/2006/main" w="19050">
              <a:solidFill>
                <a:srgbClr val="D46A42"/>
              </a:solidFill>
              <a:prstDash val="dash"/>
            </a:ln>
          </c:spPr>
          <c:marker>
            <c:symbol val="none"/>
          </c:marker>
          <c:cat>
            <c:strRef>
              <c:f>'Dashboard'!$I$49:$I$79</c:f>
              <c:strCache>
                <c:ptCount val="0"/>
              </c:strCache>
            </c:strRef>
          </c:cat>
          <c:val>
            <c:numRef>
              <c:f>'Dashboard'!$K$49:$K$79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Adj forecast</c:v>
          </c:tx>
          <c:spPr>
            <a:solidFill xmlns:a="http://schemas.openxmlformats.org/drawingml/2006/main">
              <a:srgbClr val="398578"/>
            </a:solidFill>
            <a:ln xmlns:a="http://schemas.openxmlformats.org/drawingml/2006/main" w="19050">
              <a:solidFill>
                <a:srgbClr val="398578"/>
              </a:solidFill>
              <a:prstDash val="solid"/>
            </a:ln>
          </c:spPr>
          <c:marker>
            <c:symbol val="none"/>
          </c:marker>
          <c:cat>
            <c:strRef>
              <c:f>'Dashboard'!$I$49:$I$79</c:f>
              <c:strCache>
                <c:ptCount val="0"/>
              </c:strCache>
            </c:strRef>
          </c:cat>
          <c:val>
            <c:numRef>
              <c:f>'Dashboard'!$L$49:$L$79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December sales and unserved value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 revenue</c:v>
          </c:tx>
          <c:spPr>
            <a:solidFill xmlns:a="http://schemas.openxmlformats.org/drawingml/2006/main">
              <a:srgbClr val="203B58"/>
            </a:solidFill>
            <a:ln xmlns:a="http://schemas.openxmlformats.org/drawingml/2006/main" w="19050">
              <a:solidFill>
                <a:srgbClr val="203B58"/>
              </a:solidFill>
              <a:prstDash val="solid"/>
            </a:ln>
          </c:spPr>
          <c:marker>
            <c:symbol val="none"/>
          </c:marker>
          <c:cat>
            <c:strRef>
              <c:f>'Dashboard'!$N$49:$N$79</c:f>
              <c:strCache>
                <c:ptCount val="0"/>
              </c:strCache>
            </c:strRef>
          </c:cat>
          <c:val>
            <c:numRef>
              <c:f>'Dashboard'!$O$49:$O$79</c:f>
              <c:numCache>
                <c:formatCode>"£"#,##0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Unserved value</c:v>
          </c:tx>
          <c:spPr>
            <a:solidFill xmlns:a="http://schemas.openxmlformats.org/drawingml/2006/main">
              <a:srgbClr val="D46A42"/>
            </a:solidFill>
            <a:ln xmlns:a="http://schemas.openxmlformats.org/drawingml/2006/main" w="19050">
              <a:solidFill>
                <a:srgbClr val="D46A42"/>
              </a:solidFill>
              <a:prstDash val="dash"/>
            </a:ln>
          </c:spPr>
          <c:marker>
            <c:symbol val="none"/>
          </c:marker>
          <c:cat>
            <c:strRef>
              <c:f>'Dashboard'!$N$49:$N$79</c:f>
              <c:strCache>
                <c:ptCount val="0"/>
              </c:strCache>
            </c:strRef>
          </c:cat>
          <c:val>
            <c:numRef>
              <c:f>'Dashboard'!$P$49:$P$79</c:f>
              <c:numCache>
                <c:formatCode>"£"#,##0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Substitute revenue</c:v>
          </c:tx>
          <c:spPr>
            <a:solidFill xmlns:a="http://schemas.openxmlformats.org/drawingml/2006/main">
              <a:srgbClr val="398578"/>
            </a:solidFill>
            <a:ln xmlns:a="http://schemas.openxmlformats.org/drawingml/2006/main" w="19050">
              <a:solidFill>
                <a:srgbClr val="398578"/>
              </a:solidFill>
              <a:prstDash val="solid"/>
            </a:ln>
          </c:spPr>
          <c:marker>
            <c:symbol val="none"/>
          </c:marker>
          <c:cat>
            <c:strRef>
              <c:f>'Dashboard'!$N$49:$N$79</c:f>
              <c:strCache>
                <c:ptCount val="0"/>
              </c:strCache>
            </c:strRef>
          </c:cat>
          <c:val>
            <c:numRef>
              <c:f>'Dashboard'!$Q$49:$Q$79</c:f>
              <c:numCache>
                <c:formatCode>"£"#,##0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0b6cccdb0347a4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695cac6b3b443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Analysis" displayName="Analysis" ref="A1:Z367" headerRowCount="1" totalsRowCount="0" totalsRowShown="0">
  <x:autoFilter ref="A1:Z367"/>
  <x:tableColumns count="26">
    <x:tableColumn id="1" name="Date"/>
    <x:tableColumn id="2" name="ItemID"/>
    <x:tableColumn id="3" name="Weekday"/>
    <x:tableColumn id="4" name="Period"/>
    <x:tableColumn id="5" name="PriceGBP"/>
    <x:tableColumn id="6" name="DemandUnits"/>
    <x:tableColumn id="7" name="OpeningUnits"/>
    <x:tableColumn id="8" name="ReceiptUnits"/>
    <x:tableColumn id="9" name="TransferInUnits"/>
    <x:tableColumn id="10" name="TransferOutUnits"/>
    <x:tableColumn id="11" name="StockoutHours"/>
    <x:tableColumn id="12" name="DirectSalesUnits"/>
    <x:tableColumn id="13" name="ClosingUnits"/>
    <x:tableColumn id="14" name="ShortageUnits"/>
    <x:tableColumn id="15" name="UnservedUnits"/>
    <x:tableColumn id="16" name="SalesUnits"/>
    <x:tableColumn id="17" name="RevenueGBP"/>
    <x:tableColumn id="18" name="SubstituteRevenueGBP"/>
    <x:tableColumn id="19" name="UnservedValueGBP"/>
    <x:tableColumn id="20" name="BaselineForecast"/>
    <x:tableColumn id="21" name="AdjustedForecast"/>
    <x:tableColumn id="22" name="BaselineAbsError"/>
    <x:tableColumn id="23" name="AdjustedAbsError"/>
    <x:tableColumn id="24" name="BaselineError"/>
    <x:tableColumn id="25" name="AdjustedError"/>
    <x:tableColumn id="26" name="StockoutItemDa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ilyInputs" displayName="DailyInputs" ref="A1:K367" headerRowCount="1" totalsRowCount="0" totalsRowShown="0">
  <x:autoFilter ref="A1:K367"/>
  <x:tableColumns count="11">
    <x:tableColumn id="1" name="Date"/>
    <x:tableColumn id="2" name="ItemID"/>
    <x:tableColumn id="3" name="Weekday"/>
    <x:tableColumn id="4" name="Period"/>
    <x:tableColumn id="5" name="PriceGBP"/>
    <x:tableColumn id="6" name="DemandUnits"/>
    <x:tableColumn id="7" name="OpeningUnits"/>
    <x:tableColumn id="8" name="ReceiptUnits"/>
    <x:tableColumn id="9" name="TransferInUnits"/>
    <x:tableColumn id="10" name="TransferOutUnits"/>
    <x:tableColumn id="11" name="StockoutHou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Items" displayName="Items" ref="A1:E7" headerRowCount="1" totalsRowCount="0" totalsRowShown="0">
  <x:autoFilter ref="A1:E7"/>
  <x:tableColumns count="5">
    <x:tableColumn id="1" name="ItemID"/>
    <x:tableColumn id="2" name="ItemName"/>
    <x:tableColumn id="3" name="Category"/>
    <x:tableColumn id="4" name="PriceGBP"/>
    <x:tableColumn id="5" name="BaseDaily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f66d5e34f84a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6d734f163c49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c28ca23e6145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a2ad37aeaf4775" /></Relationships>
</file>

<file path=xl/worksheets/sheet1.xml><?xml version="1.0" encoding="utf-8"?>
<x:worksheet xmlns:x="http://schemas.openxmlformats.org/spreadsheetml/2006/main">
  <x:sheetPr>
    <x:tabColor rgb="FF203B58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1" customHeight="1">
      <x:c r="A2" s="9" t="str">
        <x:v>Christmas demand: forecast and stockouts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1" customHeight="1">
      <x:c r="A3" s="2" t="str">
        <x:v>Cedar Kitchen | fictional restaurant | November-December 2025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1" customHeight="1">
      <x:c r="A4" s="2" t="str">
        <x:v>Inspired by Team Lead experience. All data and results are synthetic; built afterwards.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1" customHeight="1">
      <x:c r="A6" s="4" t="str">
        <x:v>December KPI</x:v>
      </x:c>
      <x:c r="B6" s="4" t="str">
        <x:v>Value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1" customHeight="1">
      <x:c r="A7" s="2" t="str">
        <x:v>Revenue (GBP)</x:v>
      </x:c>
      <x:c r="B7" s="15" t="n">
        <x:f>SUMIFS(Analysis!$Q$2:$Q$367,Analysis!$A$2:$A$367,"&gt;="&amp;DATE(2025,12,1))</x:f>
        <x:v>69293.5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1" customHeight="1">
      <x:c r="A8" s="2" t="str">
        <x:v>Target (GBP)</x:v>
      </x:c>
      <x:c r="B8" s="15" t="n">
        <x:f>Notes!B10</x:f>
        <x:v>70000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1" customHeight="1">
      <x:c r="A9" s="2" t="str">
        <x:v>Target attainment</x:v>
      </x:c>
      <x:c r="B9" s="16" t="n">
        <x:f>B7/B8</x:f>
        <x:v>0.9899071428571429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1" customHeight="1">
      <x:c r="A10" s="2" t="str">
        <x:v>Unserved requests</x:v>
      </x:c>
      <x:c r="B10" s="14" t="n">
        <x:f>SUMIFS(Analysis!$O$2:$O$367,Analysis!$A$2:$A$367,"&gt;="&amp;DATE(2025,12,1))</x:f>
        <x:v>107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1" customHeight="1">
      <x:c r="A11" s="2" t="str">
        <x:v>Modelled substitute revenue (GBP)</x:v>
      </x:c>
      <x:c r="B11" s="15" t="n">
        <x:f>SUMIFS(Analysis!$R$2:$R$367,Analysis!$A$2:$A$367,"&gt;="&amp;DATE(2025,12,1))</x:f>
        <x:v>1057.5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1" customHeight="1">
      <x:c r="A12" s="2" t="str">
        <x:v>Target shortfall (GBP)</x:v>
      </x:c>
      <x:c r="B12" s="15" t="n">
        <x:f>B8-B7</x:f>
        <x:v>706.5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1" customHeight="1">
      <x:c r="A13" s="2"/>
      <x:c r="B13" s="16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1" customHeight="1">
      <x:c r="A14" s="2" t="str">
        <x:v>Substitute revenue is already included in total revenue.</x:v>
      </x:c>
      <x:c r="B14" s="14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1" customHeight="1">
      <x:c r="A15" s="2" t="str">
        <x:v>107 requests remained unserved in this fixed scenario.</x:v>
      </x:c>
      <x:c r="B15" s="16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1" customHeight="1">
      <x:c r="A16" s="2"/>
      <x:c r="B16" s="15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32" customHeight="1">
      <x:c r="A19" s="5" t="str">
        <x:v>Forecast error by period</x:v>
      </x:c>
      <x:c r="B19" s="5" t="str">
        <x:v>Baseline WAPE</x:v>
      </x:c>
      <x:c r="C19" s="5" t="str">
        <x:v>Adjusted WAPE</x:v>
      </x:c>
      <x:c r="D19" s="5" t="str">
        <x:v>Baseline bias</x:v>
      </x:c>
      <x:c r="E19" s="5" t="str">
        <x:v>Adjusted bias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1" customHeight="1">
      <x:c r="A20" s="2" t="str">
        <x:v>Holdout: 1-7 Dec</x:v>
      </x:c>
      <x:c r="B20" s="16" t="n">
        <x:f>SUMIFS(Analysis!$V$2:$V$367,Analysis!$A$2:$A$367,"&gt;="&amp;DATE(2025,12,1),Analysis!$A$2:$A$367,"&lt;"&amp;DATE(2025,12,8))/SUMIFS(Analysis!$F$2:$F$367,Analysis!$A$2:$A$367,"&gt;="&amp;DATE(2025,12,1),Analysis!$A$2:$A$367,"&lt;"&amp;DATE(2025,12,8))</x:f>
        <x:v>0.04740125</x:v>
      </x:c>
      <x:c r="C20" s="16" t="n">
        <x:f>SUMIFS(Analysis!$W$2:$W$367,Analysis!$A$2:$A$367,"&gt;="&amp;DATE(2025,12,1),Analysis!$A$2:$A$367,"&lt;"&amp;DATE(2025,12,8))/SUMIFS(Analysis!$F$2:$F$367,Analysis!$A$2:$A$367,"&gt;="&amp;DATE(2025,12,1),Analysis!$A$2:$A$367,"&lt;"&amp;DATE(2025,12,8))</x:f>
        <x:v>0.02993762993762994</x:v>
      </x:c>
      <x:c r="D20" s="16" t="n">
        <x:f>SUMIFS(Analysis!$X$2:$X$367,Analysis!$A$2:$A$367,"&gt;="&amp;DATE(2025,12,1),Analysis!$A$2:$A$367,"&lt;"&amp;DATE(2025,12,8))/SUMIFS(Analysis!$F$2:$F$367,Analysis!$A$2:$A$367,"&gt;="&amp;DATE(2025,12,1),Analysis!$A$2:$A$367,"&lt;"&amp;DATE(2025,12,8))</x:f>
        <x:v>-0.04158003472222222</x:v>
      </x:c>
      <x:c r="E20" s="16" t="n">
        <x:f>SUMIFS(Analysis!$Y$2:$Y$367,Analysis!$A$2:$A$367,"&gt;="&amp;DATE(2025,12,1),Analysis!$A$2:$A$367,"&lt;"&amp;DATE(2025,12,8))/SUMIFS(Analysis!$F$2:$F$367,Analysis!$A$2:$A$367,"&gt;="&amp;DATE(2025,12,1),Analysis!$A$2:$A$367,"&lt;"&amp;DATE(2025,12,8))</x:f>
        <x:v>-0.0033264033264033266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1" customHeight="1">
      <x:c r="A21" s="2" t="str">
        <x:v>Christmas: 20-26 Dec</x:v>
      </x:c>
      <x:c r="B21" s="16" t="n">
        <x:f>SUMIFS(Analysis!$V$2:$V$367,Analysis!$A$2:$A$367,"&gt;="&amp;DATE(2025,12,20),Analysis!$A$2:$A$367,"&lt;"&amp;DATE(2025,12,27))/SUMIFS(Analysis!$F$2:$F$367,Analysis!$A$2:$A$367,"&gt;="&amp;DATE(2025,12,20),Analysis!$A$2:$A$367,"&lt;"&amp;DATE(2025,12,27))</x:f>
        <x:v>0.23986228009259258</x:v>
      </x:c>
      <x:c r="C21" s="16" t="n">
        <x:f>SUMIFS(Analysis!$W$2:$W$367,Analysis!$A$2:$A$367,"&gt;="&amp;DATE(2025,12,20),Analysis!$A$2:$A$367,"&lt;"&amp;DATE(2025,12,27))/SUMIFS(Analysis!$F$2:$F$367,Analysis!$A$2:$A$367,"&gt;="&amp;DATE(2025,12,20),Analysis!$A$2:$A$367,"&lt;"&amp;DATE(2025,12,27))</x:f>
        <x:v>0.09602142310635042</x:v>
      </x:c>
      <x:c r="D21" s="16" t="n">
        <x:f>SUMIFS(Analysis!$X$2:$X$367,Analysis!$A$2:$A$367,"&gt;="&amp;DATE(2025,12,20),Analysis!$A$2:$A$367,"&lt;"&amp;DATE(2025,12,27))/SUMIFS(Analysis!$F$2:$F$367,Analysis!$A$2:$A$367,"&gt;="&amp;DATE(2025,12,20),Analysis!$A$2:$A$367,"&lt;"&amp;DATE(2025,12,27))</x:f>
        <x:v>-0.23986226851851852</x:v>
      </x:c>
      <x:c r="E21" s="16" t="n">
        <x:f>SUMIFS(Analysis!$Y$2:$Y$367,Analysis!$A$2:$A$367,"&gt;="&amp;DATE(2025,12,20),Analysis!$A$2:$A$367,"&lt;"&amp;DATE(2025,12,27))/SUMIFS(Analysis!$F$2:$F$367,Analysis!$A$2:$A$367,"&gt;="&amp;DATE(2025,12,20),Analysis!$A$2:$A$367,"&lt;"&amp;DATE(2025,12,27))</x:f>
        <x:v>-0.08684009181331293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1" customHeight="1">
      <x:c r="A22" s="2" t="str">
        <x:v>December total</x:v>
      </x:c>
      <x:c r="B22" s="16" t="n">
        <x:f>SUMIFS(Analysis!$V$2:$V$367,Analysis!$A$2:$A$367,"&gt;="&amp;DATE(2025,12,1),Analysis!$A$2:$A$367,"&lt;"&amp;DATE(2025,12,32))/SUMIFS(Analysis!$F$2:$F$367,Analysis!$A$2:$A$367,"&gt;="&amp;DATE(2025,12,1),Analysis!$A$2:$A$367,"&lt;"&amp;DATE(2025,12,32))</x:f>
        <x:v>0.09342657407407408</x:v>
      </x:c>
      <x:c r="C22" s="16" t="n">
        <x:f>SUMIFS(Analysis!$W$2:$W$367,Analysis!$A$2:$A$367,"&gt;="&amp;DATE(2025,12,1),Analysis!$A$2:$A$367,"&lt;"&amp;DATE(2025,12,32))/SUMIFS(Analysis!$F$2:$F$367,Analysis!$A$2:$A$367,"&gt;="&amp;DATE(2025,12,1),Analysis!$A$2:$A$367,"&lt;"&amp;DATE(2025,12,32))</x:f>
        <x:v>0.04606060606060606</x:v>
      </x:c>
      <x:c r="D22" s="16" t="n">
        <x:f>SUMIFS(Analysis!$X$2:$X$367,Analysis!$A$2:$A$367,"&gt;="&amp;DATE(2025,12,1),Analysis!$A$2:$A$367,"&lt;"&amp;DATE(2025,12,32))/SUMIFS(Analysis!$F$2:$F$367,Analysis!$A$2:$A$367,"&gt;="&amp;DATE(2025,12,1),Analysis!$A$2:$A$367,"&lt;"&amp;DATE(2025,12,32))</x:f>
        <x:v>-0.09062936342592592</x:v>
      </x:c>
      <x:c r="E22" s="16" t="n">
        <x:f>SUMIFS(Analysis!$Y$2:$Y$367,Analysis!$A$2:$A$367,"&gt;="&amp;DATE(2025,12,1),Analysis!$A$2:$A$367,"&lt;"&amp;DATE(2025,12,32))/SUMIFS(Analysis!$F$2:$F$367,Analysis!$A$2:$A$367,"&gt;="&amp;DATE(2025,12,1),Analysis!$A$2:$A$367,"&lt;"&amp;DATE(2025,12,32))</x:f>
        <x:v>-0.024615384615384615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1" customHeight="1">
      <x:c r="A24" s="2" t="str">
        <x:v>WAPE compares forecasts with synthetic first-choice demand. See Notes for the method.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1" customHeight="1">
      <x:c r="A25" s="2" t="str">
        <x:v>The adjustment follows assumed demand patterns; lower error is not proof of real performance.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36" customHeight="1">
      <x:c r="A29" s="5" t="str">
        <x:v>Date</x:v>
      </x:c>
      <x:c r="B29" s="5" t="str">
        <x:v>Revenue GBP</x:v>
      </x:c>
      <x:c r="C29" s="5" t="str">
        <x:v>Unserved GBP</x:v>
      </x:c>
      <x:c r="D29" s="5" t="str">
        <x:v>Substitute GBP</x:v>
      </x:c>
      <x:c r="E29" s="5" t="str">
        <x:v>Demand units</x:v>
      </x:c>
      <x:c r="F29" s="5" t="str">
        <x:v>Base forecast</x:v>
      </x:c>
      <x:c r="G29" s="5" t="str">
        <x:v>Adj forecast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1" customHeight="1">
      <x:c r="A30" s="17" t="n">
        <x:v>45992</x:v>
      </x:c>
      <x:c r="B30" s="15" t="n">
        <x:f>SUMIFS(Analysis!$Q$2:$Q$367,Analysis!$A$2:$A$367,A30)</x:f>
        <x:v>1880</x:v>
      </x:c>
      <x:c r="C30" s="15" t="n">
        <x:f>SUMIFS(Analysis!$S$2:$S$367,Analysis!$A$2:$A$367,A30)</x:f>
        <x:v>0</x:v>
      </x:c>
      <x:c r="D30" s="15" t="n">
        <x:f>SUMIFS(Analysis!$R$2:$R$367,Analysis!$A$2:$A$367,A30)</x:f>
        <x:v>0</x:v>
      </x:c>
      <x:c r="E30" s="2" t="n">
        <x:f>SUMIFS(Analysis!$F$2:$F$367,Analysis!$A$2:$A$367,A30)</x:f>
        <x:v>288</x:v>
      </x:c>
      <x:c r="F30" s="2" t="n">
        <x:f>SUMIFS(Analysis!$T$2:$T$367,Analysis!$A$2:$A$367,A30)</x:f>
        <x:v>267</x:v>
      </x:c>
      <x:c r="G30" s="2" t="n">
        <x:f>SUMIFS(Analysis!$U$2:$U$367,Analysis!$A$2:$A$367,A30)</x:f>
        <x:v>277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1" customHeight="1">
      <x:c r="A31" s="17" t="n">
        <x:v>45993</x:v>
      </x:c>
      <x:c r="B31" s="15" t="n">
        <x:f>SUMIFS(Analysis!$Q$2:$Q$367,Analysis!$A$2:$A$367,A31)</x:f>
        <x:v>1939</x:v>
      </x:c>
      <x:c r="C31" s="15" t="n">
        <x:f>SUMIFS(Analysis!$S$2:$S$367,Analysis!$A$2:$A$367,A31)</x:f>
        <x:v>0</x:v>
      </x:c>
      <x:c r="D31" s="15" t="n">
        <x:f>SUMIFS(Analysis!$R$2:$R$367,Analysis!$A$2:$A$367,A31)</x:f>
        <x:v>0</x:v>
      </x:c>
      <x:c r="E31" s="2" t="n">
        <x:f>SUMIFS(Analysis!$F$2:$F$367,Analysis!$A$2:$A$367,A31)</x:f>
        <x:v>298</x:v>
      </x:c>
      <x:c r="F31" s="2" t="n">
        <x:f>SUMIFS(Analysis!$T$2:$T$367,Analysis!$A$2:$A$367,A31)</x:f>
        <x:v>289</x:v>
      </x:c>
      <x:c r="G31" s="2" t="n">
        <x:f>SUMIFS(Analysis!$U$2:$U$367,Analysis!$A$2:$A$367,A31)</x:f>
        <x:v>300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1" customHeight="1">
      <x:c r="A32" s="17" t="n">
        <x:v>45994</x:v>
      </x:c>
      <x:c r="B32" s="15" t="n">
        <x:f>SUMIFS(Analysis!$Q$2:$Q$367,Analysis!$A$2:$A$367,A32)</x:f>
        <x:v>1975</x:v>
      </x:c>
      <x:c r="C32" s="15" t="n">
        <x:f>SUMIFS(Analysis!$S$2:$S$367,Analysis!$A$2:$A$367,A32)</x:f>
        <x:v>0</x:v>
      </x:c>
      <x:c r="D32" s="15" t="n">
        <x:f>SUMIFS(Analysis!$R$2:$R$367,Analysis!$A$2:$A$367,A32)</x:f>
        <x:v>0</x:v>
      </x:c>
      <x:c r="E32" s="2" t="n">
        <x:f>SUMIFS(Analysis!$F$2:$F$367,Analysis!$A$2:$A$367,A32)</x:f>
        <x:v>302</x:v>
      </x:c>
      <x:c r="F32" s="2" t="n">
        <x:f>SUMIFS(Analysis!$T$2:$T$367,Analysis!$A$2:$A$367,A32)</x:f>
        <x:v>295</x:v>
      </x:c>
      <x:c r="G32" s="2" t="n">
        <x:f>SUMIFS(Analysis!$U$2:$U$367,Analysis!$A$2:$A$367,A32)</x:f>
        <x:v>306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1" customHeight="1">
      <x:c r="A33" s="17" t="n">
        <x:v>45995</x:v>
      </x:c>
      <x:c r="B33" s="15" t="n">
        <x:f>SUMIFS(Analysis!$Q$2:$Q$367,Analysis!$A$2:$A$367,A33)</x:f>
        <x:v>2102</x:v>
      </x:c>
      <x:c r="C33" s="15" t="n">
        <x:f>SUMIFS(Analysis!$S$2:$S$367,Analysis!$A$2:$A$367,A33)</x:f>
        <x:v>0</x:v>
      </x:c>
      <x:c r="D33" s="15" t="n">
        <x:f>SUMIFS(Analysis!$R$2:$R$367,Analysis!$A$2:$A$367,A33)</x:f>
        <x:v>0</x:v>
      </x:c>
      <x:c r="E33" s="2" t="n">
        <x:f>SUMIFS(Analysis!$F$2:$F$367,Analysis!$A$2:$A$367,A33)</x:f>
        <x:v>324</x:v>
      </x:c>
      <x:c r="F33" s="2" t="n">
        <x:f>SUMIFS(Analysis!$T$2:$T$367,Analysis!$A$2:$A$367,A33)</x:f>
        <x:v>318</x:v>
      </x:c>
      <x:c r="G33" s="2" t="n">
        <x:f>SUMIFS(Analysis!$U$2:$U$367,Analysis!$A$2:$A$367,A33)</x:f>
        <x:v>330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1" customHeight="1">
      <x:c r="A34" s="17" t="n">
        <x:v>45996</x:v>
      </x:c>
      <x:c r="B34" s="15" t="n">
        <x:f>SUMIFS(Analysis!$Q$2:$Q$367,Analysis!$A$2:$A$367,A34)</x:f>
        <x:v>2600.5</x:v>
      </x:c>
      <x:c r="C34" s="15" t="n">
        <x:f>SUMIFS(Analysis!$S$2:$S$367,Analysis!$A$2:$A$367,A34)</x:f>
        <x:v>0</x:v>
      </x:c>
      <x:c r="D34" s="15" t="n">
        <x:f>SUMIFS(Analysis!$R$2:$R$367,Analysis!$A$2:$A$367,A34)</x:f>
        <x:v>0</x:v>
      </x:c>
      <x:c r="E34" s="2" t="n">
        <x:f>SUMIFS(Analysis!$F$2:$F$367,Analysis!$A$2:$A$367,A34)</x:f>
        <x:v>397</x:v>
      </x:c>
      <x:c r="F34" s="2" t="n">
        <x:f>SUMIFS(Analysis!$T$2:$T$367,Analysis!$A$2:$A$367,A34)</x:f>
        <x:v>377</x:v>
      </x:c>
      <x:c r="G34" s="2" t="n">
        <x:f>SUMIFS(Analysis!$U$2:$U$367,Analysis!$A$2:$A$367,A34)</x:f>
        <x:v>393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1" customHeight="1">
      <x:c r="A35" s="17" t="n">
        <x:v>45997</x:v>
      </x:c>
      <x:c r="B35" s="15" t="n">
        <x:f>SUMIFS(Analysis!$Q$2:$Q$367,Analysis!$A$2:$A$367,A35)</x:f>
        <x:v>2831</x:v>
      </x:c>
      <x:c r="C35" s="15" t="n">
        <x:f>SUMIFS(Analysis!$S$2:$S$367,Analysis!$A$2:$A$367,A35)</x:f>
        <x:v>0</x:v>
      </x:c>
      <x:c r="D35" s="15" t="n">
        <x:f>SUMIFS(Analysis!$R$2:$R$367,Analysis!$A$2:$A$367,A35)</x:f>
        <x:v>0</x:v>
      </x:c>
      <x:c r="E35" s="2" t="n">
        <x:f>SUMIFS(Analysis!$F$2:$F$367,Analysis!$A$2:$A$367,A35)</x:f>
        <x:v>431</x:v>
      </x:c>
      <x:c r="F35" s="2" t="n">
        <x:f>SUMIFS(Analysis!$T$2:$T$367,Analysis!$A$2:$A$367,A35)</x:f>
        <x:v>410</x:v>
      </x:c>
      <x:c r="G35" s="2" t="n">
        <x:f>SUMIFS(Analysis!$U$2:$U$367,Analysis!$A$2:$A$367,A35)</x:f>
        <x:v>427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1" customHeight="1">
      <x:c r="A36" s="17" t="n">
        <x:v>45998</x:v>
      </x:c>
      <x:c r="B36" s="15" t="n">
        <x:f>SUMIFS(Analysis!$Q$2:$Q$367,Analysis!$A$2:$A$367,A36)</x:f>
        <x:v>2367.5</x:v>
      </x:c>
      <x:c r="C36" s="15" t="n">
        <x:f>SUMIFS(Analysis!$S$2:$S$367,Analysis!$A$2:$A$367,A36)</x:f>
        <x:v>0</x:v>
      </x:c>
      <x:c r="D36" s="15" t="n">
        <x:f>SUMIFS(Analysis!$R$2:$R$367,Analysis!$A$2:$A$367,A36)</x:f>
        <x:v>0</x:v>
      </x:c>
      <x:c r="E36" s="2" t="n">
        <x:f>SUMIFS(Analysis!$F$2:$F$367,Analysis!$A$2:$A$367,A36)</x:f>
        <x:v>365</x:v>
      </x:c>
      <x:c r="F36" s="2" t="n">
        <x:f>SUMIFS(Analysis!$T$2:$T$367,Analysis!$A$2:$A$367,A36)</x:f>
        <x:v>349</x:v>
      </x:c>
      <x:c r="G36" s="2" t="n">
        <x:f>SUMIFS(Analysis!$U$2:$U$367,Analysis!$A$2:$A$367,A36)</x:f>
        <x:v>364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1" customHeight="1">
      <x:c r="A37" s="17" t="n">
        <x:v>45999</x:v>
      </x:c>
      <x:c r="B37" s="15" t="n">
        <x:f>SUMIFS(Analysis!$Q$2:$Q$367,Analysis!$A$2:$A$367,A37)</x:f>
        <x:v>1795.5</x:v>
      </x:c>
      <x:c r="C37" s="15" t="n">
        <x:f>SUMIFS(Analysis!$S$2:$S$367,Analysis!$A$2:$A$367,A37)</x:f>
        <x:v>0</x:v>
      </x:c>
      <x:c r="D37" s="15" t="n">
        <x:f>SUMIFS(Analysis!$R$2:$R$367,Analysis!$A$2:$A$367,A37)</x:f>
        <x:v>0</x:v>
      </x:c>
      <x:c r="E37" s="2" t="n">
        <x:f>SUMIFS(Analysis!$F$2:$F$367,Analysis!$A$2:$A$367,A37)</x:f>
        <x:v>275</x:v>
      </x:c>
      <x:c r="F37" s="2" t="n">
        <x:f>SUMIFS(Analysis!$T$2:$T$367,Analysis!$A$2:$A$367,A37)</x:f>
        <x:v>267</x:v>
      </x:c>
      <x:c r="G37" s="2" t="n">
        <x:f>SUMIFS(Analysis!$U$2:$U$367,Analysis!$A$2:$A$367,A37)</x:f>
        <x:v>277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1" customHeight="1">
      <x:c r="A38" s="17" t="n">
        <x:v>46000</x:v>
      </x:c>
      <x:c r="B38" s="15" t="n">
        <x:f>SUMIFS(Analysis!$Q$2:$Q$367,Analysis!$A$2:$A$367,A38)</x:f>
        <x:v>1981.5</x:v>
      </x:c>
      <x:c r="C38" s="15" t="n">
        <x:f>SUMIFS(Analysis!$S$2:$S$367,Analysis!$A$2:$A$367,A38)</x:f>
        <x:v>0</x:v>
      </x:c>
      <x:c r="D38" s="15" t="n">
        <x:f>SUMIFS(Analysis!$R$2:$R$367,Analysis!$A$2:$A$367,A38)</x:f>
        <x:v>0</x:v>
      </x:c>
      <x:c r="E38" s="2" t="n">
        <x:f>SUMIFS(Analysis!$F$2:$F$367,Analysis!$A$2:$A$367,A38)</x:f>
        <x:v>305</x:v>
      </x:c>
      <x:c r="F38" s="2" t="n">
        <x:f>SUMIFS(Analysis!$T$2:$T$367,Analysis!$A$2:$A$367,A38)</x:f>
        <x:v>289</x:v>
      </x:c>
      <x:c r="G38" s="2" t="n">
        <x:f>SUMIFS(Analysis!$U$2:$U$367,Analysis!$A$2:$A$367,A38)</x:f>
        <x:v>300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1" customHeight="1">
      <x:c r="A39" s="17" t="n">
        <x:v>46001</x:v>
      </x:c>
      <x:c r="B39" s="15" t="n">
        <x:f>SUMIFS(Analysis!$Q$2:$Q$367,Analysis!$A$2:$A$367,A39)</x:f>
        <x:v>1993.5</x:v>
      </x:c>
      <x:c r="C39" s="15" t="n">
        <x:f>SUMIFS(Analysis!$S$2:$S$367,Analysis!$A$2:$A$367,A39)</x:f>
        <x:v>0</x:v>
      </x:c>
      <x:c r="D39" s="15" t="n">
        <x:f>SUMIFS(Analysis!$R$2:$R$367,Analysis!$A$2:$A$367,A39)</x:f>
        <x:v>0</x:v>
      </x:c>
      <x:c r="E39" s="2" t="n">
        <x:f>SUMIFS(Analysis!$F$2:$F$367,Analysis!$A$2:$A$367,A39)</x:f>
        <x:v>305</x:v>
      </x:c>
      <x:c r="F39" s="2" t="n">
        <x:f>SUMIFS(Analysis!$T$2:$T$367,Analysis!$A$2:$A$367,A39)</x:f>
        <x:v>295</x:v>
      </x:c>
      <x:c r="G39" s="2" t="n">
        <x:f>SUMIFS(Analysis!$U$2:$U$367,Analysis!$A$2:$A$367,A39)</x:f>
        <x:v>306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1" customHeight="1">
      <x:c r="A40" s="17" t="n">
        <x:v>46002</x:v>
      </x:c>
      <x:c r="B40" s="15" t="n">
        <x:f>SUMIFS(Analysis!$Q$2:$Q$367,Analysis!$A$2:$A$367,A40)</x:f>
        <x:v>2139.5</x:v>
      </x:c>
      <x:c r="C40" s="15" t="n">
        <x:f>SUMIFS(Analysis!$S$2:$S$367,Analysis!$A$2:$A$367,A40)</x:f>
        <x:v>0</x:v>
      </x:c>
      <x:c r="D40" s="15" t="n">
        <x:f>SUMIFS(Analysis!$R$2:$R$367,Analysis!$A$2:$A$367,A40)</x:f>
        <x:v>0</x:v>
      </x:c>
      <x:c r="E40" s="2" t="n">
        <x:f>SUMIFS(Analysis!$F$2:$F$367,Analysis!$A$2:$A$367,A40)</x:f>
        <x:v>328</x:v>
      </x:c>
      <x:c r="F40" s="2" t="n">
        <x:f>SUMIFS(Analysis!$T$2:$T$367,Analysis!$A$2:$A$367,A40)</x:f>
        <x:v>318</x:v>
      </x:c>
      <x:c r="G40" s="2" t="n">
        <x:f>SUMIFS(Analysis!$U$2:$U$367,Analysis!$A$2:$A$367,A40)</x:f>
        <x:v>330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1" customHeight="1">
      <x:c r="A41" s="17" t="n">
        <x:v>46003</x:v>
      </x:c>
      <x:c r="B41" s="15" t="n">
        <x:f>SUMIFS(Analysis!$Q$2:$Q$367,Analysis!$A$2:$A$367,A41)</x:f>
        <x:v>2586</x:v>
      </x:c>
      <x:c r="C41" s="15" t="n">
        <x:f>SUMIFS(Analysis!$S$2:$S$367,Analysis!$A$2:$A$367,A41)</x:f>
        <x:v>0</x:v>
      </x:c>
      <x:c r="D41" s="15" t="n">
        <x:f>SUMIFS(Analysis!$R$2:$R$367,Analysis!$A$2:$A$367,A41)</x:f>
        <x:v>0</x:v>
      </x:c>
      <x:c r="E41" s="2" t="n">
        <x:f>SUMIFS(Analysis!$F$2:$F$367,Analysis!$A$2:$A$367,A41)</x:f>
        <x:v>393</x:v>
      </x:c>
      <x:c r="F41" s="2" t="n">
        <x:f>SUMIFS(Analysis!$T$2:$T$367,Analysis!$A$2:$A$367,A41)</x:f>
        <x:v>377</x:v>
      </x:c>
      <x:c r="G41" s="2" t="n">
        <x:f>SUMIFS(Analysis!$U$2:$U$367,Analysis!$A$2:$A$367,A41)</x:f>
        <x:v>393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1" customHeight="1">
      <x:c r="A42" s="17" t="n">
        <x:v>46004</x:v>
      </x:c>
      <x:c r="B42" s="15" t="n">
        <x:f>SUMIFS(Analysis!$Q$2:$Q$367,Analysis!$A$2:$A$367,A42)</x:f>
        <x:v>2887</x:v>
      </x:c>
      <x:c r="C42" s="15" t="n">
        <x:f>SUMIFS(Analysis!$S$2:$S$367,Analysis!$A$2:$A$367,A42)</x:f>
        <x:v>0</x:v>
      </x:c>
      <x:c r="D42" s="15" t="n">
        <x:f>SUMIFS(Analysis!$R$2:$R$367,Analysis!$A$2:$A$367,A42)</x:f>
        <x:v>0</x:v>
      </x:c>
      <x:c r="E42" s="2" t="n">
        <x:f>SUMIFS(Analysis!$F$2:$F$367,Analysis!$A$2:$A$367,A42)</x:f>
        <x:v>441</x:v>
      </x:c>
      <x:c r="F42" s="2" t="n">
        <x:f>SUMIFS(Analysis!$T$2:$T$367,Analysis!$A$2:$A$367,A42)</x:f>
        <x:v>410</x:v>
      </x:c>
      <x:c r="G42" s="2" t="n">
        <x:f>SUMIFS(Analysis!$U$2:$U$367,Analysis!$A$2:$A$367,A42)</x:f>
        <x:v>427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1" customHeight="1">
      <x:c r="A43" s="17" t="n">
        <x:v>46005</x:v>
      </x:c>
      <x:c r="B43" s="15" t="n">
        <x:f>SUMIFS(Analysis!$Q$2:$Q$367,Analysis!$A$2:$A$367,A43)</x:f>
        <x:v>2375</x:v>
      </x:c>
      <x:c r="C43" s="15" t="n">
        <x:f>SUMIFS(Analysis!$S$2:$S$367,Analysis!$A$2:$A$367,A43)</x:f>
        <x:v>0</x:v>
      </x:c>
      <x:c r="D43" s="15" t="n">
        <x:f>SUMIFS(Analysis!$R$2:$R$367,Analysis!$A$2:$A$367,A43)</x:f>
        <x:v>0</x:v>
      </x:c>
      <x:c r="E43" s="2" t="n">
        <x:f>SUMIFS(Analysis!$F$2:$F$367,Analysis!$A$2:$A$367,A43)</x:f>
        <x:v>367</x:v>
      </x:c>
      <x:c r="F43" s="2" t="n">
        <x:f>SUMIFS(Analysis!$T$2:$T$367,Analysis!$A$2:$A$367,A43)</x:f>
        <x:v>349</x:v>
      </x:c>
      <x:c r="G43" s="2" t="n">
        <x:f>SUMIFS(Analysis!$U$2:$U$367,Analysis!$A$2:$A$367,A43)</x:f>
        <x:v>364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1" customHeight="1">
      <x:c r="A44" s="17" t="n">
        <x:v>46006</x:v>
      </x:c>
      <x:c r="B44" s="15" t="n">
        <x:f>SUMIFS(Analysis!$Q$2:$Q$367,Analysis!$A$2:$A$367,A44)</x:f>
        <x:v>1881.5</x:v>
      </x:c>
      <x:c r="C44" s="15" t="n">
        <x:f>SUMIFS(Analysis!$S$2:$S$367,Analysis!$A$2:$A$367,A44)</x:f>
        <x:v>0</x:v>
      </x:c>
      <x:c r="D44" s="15" t="n">
        <x:f>SUMIFS(Analysis!$R$2:$R$367,Analysis!$A$2:$A$367,A44)</x:f>
        <x:v>0</x:v>
      </x:c>
      <x:c r="E44" s="2" t="n">
        <x:f>SUMIFS(Analysis!$F$2:$F$367,Analysis!$A$2:$A$367,A44)</x:f>
        <x:v>288</x:v>
      </x:c>
      <x:c r="F44" s="2" t="n">
        <x:f>SUMIFS(Analysis!$T$2:$T$367,Analysis!$A$2:$A$367,A44)</x:f>
        <x:v>267</x:v>
      </x:c>
      <x:c r="G44" s="2" t="n">
        <x:f>SUMIFS(Analysis!$U$2:$U$367,Analysis!$A$2:$A$367,A44)</x:f>
        <x:v>277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1" customHeight="1">
      <x:c r="A45" s="17" t="n">
        <x:v>46007</x:v>
      </x:c>
      <x:c r="B45" s="15" t="n">
        <x:f>SUMIFS(Analysis!$Q$2:$Q$367,Analysis!$A$2:$A$367,A45)</x:f>
        <x:v>1927.5</x:v>
      </x:c>
      <x:c r="C45" s="15" t="n">
        <x:f>SUMIFS(Analysis!$S$2:$S$367,Analysis!$A$2:$A$367,A45)</x:f>
        <x:v>0</x:v>
      </x:c>
      <x:c r="D45" s="15" t="n">
        <x:f>SUMIFS(Analysis!$R$2:$R$367,Analysis!$A$2:$A$367,A45)</x:f>
        <x:v>0</x:v>
      </x:c>
      <x:c r="E45" s="2" t="n">
        <x:f>SUMIFS(Analysis!$F$2:$F$367,Analysis!$A$2:$A$367,A45)</x:f>
        <x:v>293</x:v>
      </x:c>
      <x:c r="F45" s="2" t="n">
        <x:f>SUMIFS(Analysis!$T$2:$T$367,Analysis!$A$2:$A$367,A45)</x:f>
        <x:v>289</x:v>
      </x:c>
      <x:c r="G45" s="2" t="n">
        <x:f>SUMIFS(Analysis!$U$2:$U$367,Analysis!$A$2:$A$367,A45)</x:f>
        <x:v>300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1" customHeight="1">
      <x:c r="A46" s="17" t="n">
        <x:v>46008</x:v>
      </x:c>
      <x:c r="B46" s="15" t="n">
        <x:f>SUMIFS(Analysis!$Q$2:$Q$367,Analysis!$A$2:$A$367,A46)</x:f>
        <x:v>2008</x:v>
      </x:c>
      <x:c r="C46" s="15" t="n">
        <x:f>SUMIFS(Analysis!$S$2:$S$367,Analysis!$A$2:$A$367,A46)</x:f>
        <x:v>0</x:v>
      </x:c>
      <x:c r="D46" s="15" t="n">
        <x:f>SUMIFS(Analysis!$R$2:$R$367,Analysis!$A$2:$A$367,A46)</x:f>
        <x:v>0</x:v>
      </x:c>
      <x:c r="E46" s="2" t="n">
        <x:f>SUMIFS(Analysis!$F$2:$F$367,Analysis!$A$2:$A$367,A46)</x:f>
        <x:v>305</x:v>
      </x:c>
      <x:c r="F46" s="2" t="n">
        <x:f>SUMIFS(Analysis!$T$2:$T$367,Analysis!$A$2:$A$367,A46)</x:f>
        <x:v>295</x:v>
      </x:c>
      <x:c r="G46" s="2" t="n">
        <x:f>SUMIFS(Analysis!$U$2:$U$367,Analysis!$A$2:$A$367,A46)</x:f>
        <x:v>306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1" customHeight="1">
      <x:c r="A47" s="17" t="n">
        <x:v>46009</x:v>
      </x:c>
      <x:c r="B47" s="15" t="n">
        <x:f>SUMIFS(Analysis!$Q$2:$Q$367,Analysis!$A$2:$A$367,A47)</x:f>
        <x:v>2121</x:v>
      </x:c>
      <x:c r="C47" s="15" t="n">
        <x:f>SUMIFS(Analysis!$S$2:$S$367,Analysis!$A$2:$A$367,A47)</x:f>
        <x:v>0</x:v>
      </x:c>
      <x:c r="D47" s="15" t="n">
        <x:f>SUMIFS(Analysis!$R$2:$R$367,Analysis!$A$2:$A$367,A47)</x:f>
        <x:v>0</x:v>
      </x:c>
      <x:c r="E47" s="2" t="n">
        <x:f>SUMIFS(Analysis!$F$2:$F$367,Analysis!$A$2:$A$367,A47)</x:f>
        <x:v>325</x:v>
      </x:c>
      <x:c r="F47" s="2" t="n">
        <x:f>SUMIFS(Analysis!$T$2:$T$367,Analysis!$A$2:$A$367,A47)</x:f>
        <x:v>318</x:v>
      </x:c>
      <x:c r="G47" s="2" t="n">
        <x:f>SUMIFS(Analysis!$U$2:$U$367,Analysis!$A$2:$A$367,A47)</x:f>
        <x:v>330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1" customHeight="1">
      <x:c r="A48" s="17" t="n">
        <x:v>46010</x:v>
      </x:c>
      <x:c r="B48" s="15" t="n">
        <x:f>SUMIFS(Analysis!$Q$2:$Q$367,Analysis!$A$2:$A$367,A48)</x:f>
        <x:v>2589</x:v>
      </x:c>
      <x:c r="C48" s="15" t="n">
        <x:f>SUMIFS(Analysis!$S$2:$S$367,Analysis!$A$2:$A$367,A48)</x:f>
        <x:v>0</x:v>
      </x:c>
      <x:c r="D48" s="15" t="n">
        <x:f>SUMIFS(Analysis!$R$2:$R$367,Analysis!$A$2:$A$367,A48)</x:f>
        <x:v>0</x:v>
      </x:c>
      <x:c r="E48" s="2" t="n">
        <x:f>SUMIFS(Analysis!$F$2:$F$367,Analysis!$A$2:$A$367,A48)</x:f>
        <x:v>395</x:v>
      </x:c>
      <x:c r="F48" s="2" t="n">
        <x:f>SUMIFS(Analysis!$T$2:$T$367,Analysis!$A$2:$A$367,A48)</x:f>
        <x:v>377</x:v>
      </x:c>
      <x:c r="G48" s="2" t="n">
        <x:f>SUMIFS(Analysis!$U$2:$U$367,Analysis!$A$2:$A$367,A48)</x:f>
        <x:v>393</x:v>
      </x:c>
      <x:c r="H48" s="2"/>
      <x:c r="I48" s="2" t="str">
        <x:v>Day</x:v>
      </x:c>
      <x:c r="J48" s="2" t="str">
        <x:v>Demand</x:v>
      </x:c>
      <x:c r="K48" s="2" t="str">
        <x:v>Base forecast</x:v>
      </x:c>
      <x:c r="L48" s="2" t="str">
        <x:v>Adj forecast</x:v>
      </x:c>
      <x:c r="M48" s="2"/>
      <x:c r="N48" s="2" t="str">
        <x:v>Day</x:v>
      </x:c>
      <x:c r="O48" s="2" t="str">
        <x:v>Sales revenue</x:v>
      </x:c>
      <x:c r="P48" s="2" t="str">
        <x:v>Unserved value</x:v>
      </x:c>
      <x:c r="Q48" s="2" t="str">
        <x:v>Substitute revenue</x:v>
      </x:c>
    </x:row>
    <x:row r="49" ht="21" customHeight="1">
      <x:c r="A49" s="17" t="n">
        <x:v>46011</x:v>
      </x:c>
      <x:c r="B49" s="15" t="n">
        <x:f>SUMIFS(Analysis!$Q$2:$Q$367,Analysis!$A$2:$A$367,A49)</x:f>
        <x:v>3633.5</x:v>
      </x:c>
      <x:c r="C49" s="15" t="n">
        <x:f>SUMIFS(Analysis!$S$2:$S$367,Analysis!$A$2:$A$367,A49)</x:f>
        <x:v>0</x:v>
      </x:c>
      <x:c r="D49" s="15" t="n">
        <x:f>SUMIFS(Analysis!$R$2:$R$367,Analysis!$A$2:$A$367,A49)</x:f>
        <x:v>0</x:v>
      </x:c>
      <x:c r="E49" s="2" t="n">
        <x:f>SUMIFS(Analysis!$F$2:$F$367,Analysis!$A$2:$A$367,A49)</x:f>
        <x:v>550</x:v>
      </x:c>
      <x:c r="F49" s="2" t="n">
        <x:f>SUMIFS(Analysis!$T$2:$T$367,Analysis!$A$2:$A$367,A49)</x:f>
        <x:v>410</x:v>
      </x:c>
      <x:c r="G49" s="2" t="n">
        <x:f>SUMIFS(Analysis!$U$2:$U$367,Analysis!$A$2:$A$367,A49)</x:f>
        <x:v>492</x:v>
      </x:c>
      <x:c r="H49" s="2"/>
      <x:c r="I49" s="2" t="str">
        <x:v>01</x:v>
      </x:c>
      <x:c r="J49" s="2" t="n">
        <x:f>E30</x:f>
        <x:v>288</x:v>
      </x:c>
      <x:c r="K49" s="2" t="n">
        <x:f>F30</x:f>
        <x:v>267</x:v>
      </x:c>
      <x:c r="L49" s="2" t="n">
        <x:f>G30</x:f>
        <x:v>277</x:v>
      </x:c>
      <x:c r="M49" s="2"/>
      <x:c r="N49" s="2" t="str">
        <x:v>01</x:v>
      </x:c>
      <x:c r="O49" s="2" t="n">
        <x:f>B30</x:f>
        <x:v>1880</x:v>
      </x:c>
      <x:c r="P49" s="2" t="n">
        <x:f>C30</x:f>
        <x:v>0</x:v>
      </x:c>
      <x:c r="Q49" s="2" t="n">
        <x:f>D30</x:f>
        <x:v>0</x:v>
      </x:c>
    </x:row>
    <x:row r="50" ht="21" customHeight="1">
      <x:c r="A50" s="17" t="n">
        <x:v>46012</x:v>
      </x:c>
      <x:c r="B50" s="15" t="n">
        <x:f>SUMIFS(Analysis!$Q$2:$Q$367,Analysis!$A$2:$A$367,A50)</x:f>
        <x:v>2645.5</x:v>
      </x:c>
      <x:c r="C50" s="15" t="n">
        <x:f>SUMIFS(Analysis!$S$2:$S$367,Analysis!$A$2:$A$367,A50)</x:f>
        <x:v>398</x:v>
      </x:c>
      <x:c r="D50" s="15" t="n">
        <x:f>SUMIFS(Analysis!$R$2:$R$367,Analysis!$A$2:$A$367,A50)</x:f>
        <x:v>195</x:v>
      </x:c>
      <x:c r="E50" s="2" t="n">
        <x:f>SUMIFS(Analysis!$F$2:$F$367,Analysis!$A$2:$A$367,A50)</x:f>
        <x:v>460</x:v>
      </x:c>
      <x:c r="F50" s="2" t="n">
        <x:f>SUMIFS(Analysis!$T$2:$T$367,Analysis!$A$2:$A$367,A50)</x:f>
        <x:v>349</x:v>
      </x:c>
      <x:c r="G50" s="2" t="n">
        <x:f>SUMIFS(Analysis!$U$2:$U$367,Analysis!$A$2:$A$367,A50)</x:f>
        <x:v>420</x:v>
      </x:c>
      <x:c r="H50" s="2"/>
      <x:c r="I50" s="2" t="str">
        <x:v>02</x:v>
      </x:c>
      <x:c r="J50" s="2" t="n">
        <x:f>E31</x:f>
        <x:v>298</x:v>
      </x:c>
      <x:c r="K50" s="2" t="n">
        <x:f>F31</x:f>
        <x:v>289</x:v>
      </x:c>
      <x:c r="L50" s="2" t="n">
        <x:f>G31</x:f>
        <x:v>300</x:v>
      </x:c>
      <x:c r="M50" s="2"/>
      <x:c r="N50" s="2" t="str">
        <x:v>02</x:v>
      </x:c>
      <x:c r="O50" s="2" t="n">
        <x:f>B31</x:f>
        <x:v>1939</x:v>
      </x:c>
      <x:c r="P50" s="2" t="n">
        <x:f>C31</x:f>
        <x:v>0</x:v>
      </x:c>
      <x:c r="Q50" s="2" t="n">
        <x:f>D31</x:f>
        <x:v>0</x:v>
      </x:c>
    </x:row>
    <x:row r="51" ht="21" customHeight="1">
      <x:c r="A51" s="17" t="n">
        <x:v>46013</x:v>
      </x:c>
      <x:c r="B51" s="15" t="n">
        <x:f>SUMIFS(Analysis!$Q$2:$Q$367,Analysis!$A$2:$A$367,A51)</x:f>
        <x:v>2156.5</x:v>
      </x:c>
      <x:c r="C51" s="15" t="n">
        <x:f>SUMIFS(Analysis!$S$2:$S$367,Analysis!$A$2:$A$367,A51)</x:f>
        <x:v>149</x:v>
      </x:c>
      <x:c r="D51" s="15" t="n">
        <x:f>SUMIFS(Analysis!$R$2:$R$367,Analysis!$A$2:$A$367,A51)</x:f>
        <x:v>270</x:v>
      </x:c>
      <x:c r="E51" s="2" t="n">
        <x:f>SUMIFS(Analysis!$F$2:$F$367,Analysis!$A$2:$A$367,A51)</x:f>
        <x:v>354</x:v>
      </x:c>
      <x:c r="F51" s="2" t="n">
        <x:f>SUMIFS(Analysis!$T$2:$T$367,Analysis!$A$2:$A$367,A51)</x:f>
        <x:v>267</x:v>
      </x:c>
      <x:c r="G51" s="2" t="n">
        <x:f>SUMIFS(Analysis!$U$2:$U$367,Analysis!$A$2:$A$367,A51)</x:f>
        <x:v>321</x:v>
      </x:c>
      <x:c r="H51" s="2"/>
      <x:c r="I51" s="2" t="str">
        <x:v>03</x:v>
      </x:c>
      <x:c r="J51" s="2" t="n">
        <x:f>E32</x:f>
        <x:v>302</x:v>
      </x:c>
      <x:c r="K51" s="2" t="n">
        <x:f>F32</x:f>
        <x:v>295</x:v>
      </x:c>
      <x:c r="L51" s="2" t="n">
        <x:f>G32</x:f>
        <x:v>306</x:v>
      </x:c>
      <x:c r="M51" s="2"/>
      <x:c r="N51" s="2" t="str">
        <x:v>03</x:v>
      </x:c>
      <x:c r="O51" s="2" t="n">
        <x:f>B32</x:f>
        <x:v>1975</x:v>
      </x:c>
      <x:c r="P51" s="2" t="n">
        <x:f>C32</x:f>
        <x:v>0</x:v>
      </x:c>
      <x:c r="Q51" s="2" t="n">
        <x:f>D32</x:f>
        <x:v>0</x:v>
      </x:c>
    </x:row>
    <x:row r="52" ht="21" customHeight="1">
      <x:c r="A52" s="17" t="n">
        <x:v>46014</x:v>
      </x:c>
      <x:c r="B52" s="15" t="n">
        <x:f>SUMIFS(Analysis!$Q$2:$Q$367,Analysis!$A$2:$A$367,A52)</x:f>
        <x:v>2255</x:v>
      </x:c>
      <x:c r="C52" s="15" t="n">
        <x:f>SUMIFS(Analysis!$S$2:$S$367,Analysis!$A$2:$A$367,A52)</x:f>
        <x:v>165.5</x:v>
      </x:c>
      <x:c r="D52" s="15" t="n">
        <x:f>SUMIFS(Analysis!$R$2:$R$367,Analysis!$A$2:$A$367,A52)</x:f>
        <x:v>288</x:v>
      </x:c>
      <x:c r="E52" s="2" t="n">
        <x:f>SUMIFS(Analysis!$F$2:$F$367,Analysis!$A$2:$A$367,A52)</x:f>
        <x:v>372</x:v>
      </x:c>
      <x:c r="F52" s="2" t="n">
        <x:f>SUMIFS(Analysis!$T$2:$T$367,Analysis!$A$2:$A$367,A52)</x:f>
        <x:v>289</x:v>
      </x:c>
      <x:c r="G52" s="2" t="n">
        <x:f>SUMIFS(Analysis!$U$2:$U$367,Analysis!$A$2:$A$367,A52)</x:f>
        <x:v>347</x:v>
      </x:c>
      <x:c r="H52" s="2"/>
      <x:c r="I52" s="2" t="str">
        <x:v>04</x:v>
      </x:c>
      <x:c r="J52" s="2" t="n">
        <x:f>E33</x:f>
        <x:v>324</x:v>
      </x:c>
      <x:c r="K52" s="2" t="n">
        <x:f>F33</x:f>
        <x:v>318</x:v>
      </x:c>
      <x:c r="L52" s="2" t="n">
        <x:f>G33</x:f>
        <x:v>330</x:v>
      </x:c>
      <x:c r="M52" s="2"/>
      <x:c r="N52" s="2" t="str">
        <x:v>04</x:v>
      </x:c>
      <x:c r="O52" s="2" t="n">
        <x:f>B33</x:f>
        <x:v>2102</x:v>
      </x:c>
      <x:c r="P52" s="2" t="n">
        <x:f>C33</x:f>
        <x:v>0</x:v>
      </x:c>
      <x:c r="Q52" s="2" t="n">
        <x:f>D33</x:f>
        <x:v>0</x:v>
      </x:c>
    </x:row>
    <x:row r="53" ht="21" customHeight="1">
      <x:c r="A53" s="17" t="n">
        <x:v>46015</x:v>
      </x:c>
      <x:c r="B53" s="15" t="n">
        <x:f>SUMIFS(Analysis!$Q$2:$Q$367,Analysis!$A$2:$A$367,A53)</x:f>
        <x:v>2405.5</x:v>
      </x:c>
      <x:c r="C53" s="15" t="n">
        <x:f>SUMIFS(Analysis!$S$2:$S$367,Analysis!$A$2:$A$367,A53)</x:f>
        <x:v>173.5</x:v>
      </x:c>
      <x:c r="D53" s="15" t="n">
        <x:f>SUMIFS(Analysis!$R$2:$R$367,Analysis!$A$2:$A$367,A53)</x:f>
        <x:v>304.5</x:v>
      </x:c>
      <x:c r="E53" s="2" t="n">
        <x:f>SUMIFS(Analysis!$F$2:$F$367,Analysis!$A$2:$A$367,A53)</x:f>
        <x:v>392</x:v>
      </x:c>
      <x:c r="F53" s="2" t="n">
        <x:f>SUMIFS(Analysis!$T$2:$T$367,Analysis!$A$2:$A$367,A53)</x:f>
        <x:v>295</x:v>
      </x:c>
      <x:c r="G53" s="2" t="n">
        <x:f>SUMIFS(Analysis!$U$2:$U$367,Analysis!$A$2:$A$367,A53)</x:f>
        <x:v>353</x:v>
      </x:c>
      <x:c r="H53" s="2"/>
      <x:c r="I53" s="2" t="str">
        <x:v>05</x:v>
      </x:c>
      <x:c r="J53" s="2" t="n">
        <x:f>E34</x:f>
        <x:v>397</x:v>
      </x:c>
      <x:c r="K53" s="2" t="n">
        <x:f>F34</x:f>
        <x:v>377</x:v>
      </x:c>
      <x:c r="L53" s="2" t="n">
        <x:f>G34</x:f>
        <x:v>393</x:v>
      </x:c>
      <x:c r="M53" s="2"/>
      <x:c r="N53" s="2" t="str">
        <x:v>05</x:v>
      </x:c>
      <x:c r="O53" s="2" t="n">
        <x:f>B34</x:f>
        <x:v>2600.5</x:v>
      </x:c>
      <x:c r="P53" s="2" t="n">
        <x:f>C34</x:f>
        <x:v>0</x:v>
      </x:c>
      <x:c r="Q53" s="2" t="n">
        <x:f>D34</x:f>
        <x:v>0</x:v>
      </x:c>
    </x:row>
    <x:row r="54" ht="21" customHeight="1">
      <x:c r="A54" s="17" t="n">
        <x:v>46016</x:v>
      </x:c>
      <x:c r="B54" s="15" t="n">
        <x:f>SUMIFS(Analysis!$Q$2:$Q$367,Analysis!$A$2:$A$367,A54)</x:f>
        <x:v>0</x:v>
      </x:c>
      <x:c r="C54" s="15" t="n">
        <x:f>SUMIFS(Analysis!$S$2:$S$367,Analysis!$A$2:$A$367,A54)</x:f>
        <x:v>0</x:v>
      </x:c>
      <x:c r="D54" s="15" t="n">
        <x:f>SUMIFS(Analysis!$R$2:$R$367,Analysis!$A$2:$A$367,A54)</x:f>
        <x:v>0</x:v>
      </x:c>
      <x:c r="E54" s="2" t="n">
        <x:f>SUMIFS(Analysis!$F$2:$F$367,Analysis!$A$2:$A$367,A54)</x:f>
        <x:v>0</x:v>
      </x:c>
      <x:c r="F54" s="2" t="n">
        <x:f>SUMIFS(Analysis!$T$2:$T$367,Analysis!$A$2:$A$367,A54)</x:f>
        <x:v>0</x:v>
      </x:c>
      <x:c r="G54" s="2" t="n">
        <x:f>SUMIFS(Analysis!$U$2:$U$367,Analysis!$A$2:$A$367,A54)</x:f>
        <x:v>0</x:v>
      </x:c>
      <x:c r="H54" s="2"/>
      <x:c r="I54" s="2" t="str">
        <x:v>06</x:v>
      </x:c>
      <x:c r="J54" s="2" t="n">
        <x:f>E35</x:f>
        <x:v>431</x:v>
      </x:c>
      <x:c r="K54" s="2" t="n">
        <x:f>F35</x:f>
        <x:v>410</x:v>
      </x:c>
      <x:c r="L54" s="2" t="n">
        <x:f>G35</x:f>
        <x:v>427</x:v>
      </x:c>
      <x:c r="M54" s="2"/>
      <x:c r="N54" s="2" t="str">
        <x:v>06</x:v>
      </x:c>
      <x:c r="O54" s="2" t="n">
        <x:f>B35</x:f>
        <x:v>2831</x:v>
      </x:c>
      <x:c r="P54" s="2" t="n">
        <x:f>C35</x:f>
        <x:v>0</x:v>
      </x:c>
      <x:c r="Q54" s="2" t="n">
        <x:f>D35</x:f>
        <x:v>0</x:v>
      </x:c>
    </x:row>
    <x:row r="55" ht="21" customHeight="1">
      <x:c r="A55" s="17" t="n">
        <x:v>46017</x:v>
      </x:c>
      <x:c r="B55" s="15" t="n">
        <x:f>SUMIFS(Analysis!$Q$2:$Q$367,Analysis!$A$2:$A$367,A55)</x:f>
        <x:v>3241</x:v>
      </x:c>
      <x:c r="C55" s="15" t="n">
        <x:f>SUMIFS(Analysis!$S$2:$S$367,Analysis!$A$2:$A$367,A55)</x:f>
        <x:v>0</x:v>
      </x:c>
      <x:c r="D55" s="15" t="n">
        <x:f>SUMIFS(Analysis!$R$2:$R$367,Analysis!$A$2:$A$367,A55)</x:f>
        <x:v>0</x:v>
      </x:c>
      <x:c r="E55" s="2" t="n">
        <x:f>SUMIFS(Analysis!$F$2:$F$367,Analysis!$A$2:$A$367,A55)</x:f>
        <x:v>486</x:v>
      </x:c>
      <x:c r="F55" s="2" t="n">
        <x:f>SUMIFS(Analysis!$T$2:$T$367,Analysis!$A$2:$A$367,A55)</x:f>
        <x:v>377</x:v>
      </x:c>
      <x:c r="G55" s="2" t="n">
        <x:f>SUMIFS(Analysis!$U$2:$U$367,Analysis!$A$2:$A$367,A55)</x:f>
        <x:v>454</x:v>
      </x:c>
      <x:c r="H55" s="2"/>
      <x:c r="I55" s="2" t="str">
        <x:v>07</x:v>
      </x:c>
      <x:c r="J55" s="2" t="n">
        <x:f>E36</x:f>
        <x:v>365</x:v>
      </x:c>
      <x:c r="K55" s="2" t="n">
        <x:f>F36</x:f>
        <x:v>349</x:v>
      </x:c>
      <x:c r="L55" s="2" t="n">
        <x:f>G36</x:f>
        <x:v>364</x:v>
      </x:c>
      <x:c r="M55" s="2"/>
      <x:c r="N55" s="2" t="str">
        <x:v>07</x:v>
      </x:c>
      <x:c r="O55" s="2" t="n">
        <x:f>B36</x:f>
        <x:v>2367.5</x:v>
      </x:c>
      <x:c r="P55" s="2" t="n">
        <x:f>C36</x:f>
        <x:v>0</x:v>
      </x:c>
      <x:c r="Q55" s="2" t="n">
        <x:f>D36</x:f>
        <x:v>0</x:v>
      </x:c>
    </x:row>
    <x:row r="56" ht="21" customHeight="1">
      <x:c r="A56" s="17" t="n">
        <x:v>46018</x:v>
      </x:c>
      <x:c r="B56" s="15" t="n">
        <x:f>SUMIFS(Analysis!$Q$2:$Q$367,Analysis!$A$2:$A$367,A56)</x:f>
        <x:v>2810.5</x:v>
      </x:c>
      <x:c r="C56" s="15" t="n">
        <x:f>SUMIFS(Analysis!$S$2:$S$367,Analysis!$A$2:$A$367,A56)</x:f>
        <x:v>0</x:v>
      </x:c>
      <x:c r="D56" s="15" t="n">
        <x:f>SUMIFS(Analysis!$R$2:$R$367,Analysis!$A$2:$A$367,A56)</x:f>
        <x:v>0</x:v>
      </x:c>
      <x:c r="E56" s="2" t="n">
        <x:f>SUMIFS(Analysis!$F$2:$F$367,Analysis!$A$2:$A$367,A56)</x:f>
        <x:v>431</x:v>
      </x:c>
      <x:c r="F56" s="2" t="n">
        <x:f>SUMIFS(Analysis!$T$2:$T$367,Analysis!$A$2:$A$367,A56)</x:f>
        <x:v>410</x:v>
      </x:c>
      <x:c r="G56" s="2" t="n">
        <x:f>SUMIFS(Analysis!$U$2:$U$367,Analysis!$A$2:$A$367,A56)</x:f>
        <x:v>427</x:v>
      </x:c>
      <x:c r="H56" s="2"/>
      <x:c r="I56" s="2" t="str">
        <x:v>08</x:v>
      </x:c>
      <x:c r="J56" s="2" t="n">
        <x:f>E37</x:f>
        <x:v>275</x:v>
      </x:c>
      <x:c r="K56" s="2" t="n">
        <x:f>F37</x:f>
        <x:v>267</x:v>
      </x:c>
      <x:c r="L56" s="2" t="n">
        <x:f>G37</x:f>
        <x:v>277</x:v>
      </x:c>
      <x:c r="M56" s="2"/>
      <x:c r="N56" s="2" t="str">
        <x:v>08</x:v>
      </x:c>
      <x:c r="O56" s="2" t="n">
        <x:f>B37</x:f>
        <x:v>1795.5</x:v>
      </x:c>
      <x:c r="P56" s="2" t="n">
        <x:f>C37</x:f>
        <x:v>0</x:v>
      </x:c>
      <x:c r="Q56" s="2" t="n">
        <x:f>D37</x:f>
        <x:v>0</x:v>
      </x:c>
    </x:row>
    <x:row r="57" ht="21" customHeight="1">
      <x:c r="A57" s="17" t="n">
        <x:v>46019</x:v>
      </x:c>
      <x:c r="B57" s="15" t="n">
        <x:f>SUMIFS(Analysis!$Q$2:$Q$367,Analysis!$A$2:$A$367,A57)</x:f>
        <x:v>2390</x:v>
      </x:c>
      <x:c r="C57" s="15" t="n">
        <x:f>SUMIFS(Analysis!$S$2:$S$367,Analysis!$A$2:$A$367,A57)</x:f>
        <x:v>0</x:v>
      </x:c>
      <x:c r="D57" s="15" t="n">
        <x:f>SUMIFS(Analysis!$R$2:$R$367,Analysis!$A$2:$A$367,A57)</x:f>
        <x:v>0</x:v>
      </x:c>
      <x:c r="E57" s="2" t="n">
        <x:f>SUMIFS(Analysis!$F$2:$F$367,Analysis!$A$2:$A$367,A57)</x:f>
        <x:v>367</x:v>
      </x:c>
      <x:c r="F57" s="2" t="n">
        <x:f>SUMIFS(Analysis!$T$2:$T$367,Analysis!$A$2:$A$367,A57)</x:f>
        <x:v>349</x:v>
      </x:c>
      <x:c r="G57" s="2" t="n">
        <x:f>SUMIFS(Analysis!$U$2:$U$367,Analysis!$A$2:$A$367,A57)</x:f>
        <x:v>364</x:v>
      </x:c>
      <x:c r="H57" s="2"/>
      <x:c r="I57" s="2" t="str">
        <x:v>09</x:v>
      </x:c>
      <x:c r="J57" s="2" t="n">
        <x:f>E38</x:f>
        <x:v>305</x:v>
      </x:c>
      <x:c r="K57" s="2" t="n">
        <x:f>F38</x:f>
        <x:v>289</x:v>
      </x:c>
      <x:c r="L57" s="2" t="n">
        <x:f>G38</x:f>
        <x:v>300</x:v>
      </x:c>
      <x:c r="M57" s="2"/>
      <x:c r="N57" s="2" t="str">
        <x:v>09</x:v>
      </x:c>
      <x:c r="O57" s="2" t="n">
        <x:f>B38</x:f>
        <x:v>1981.5</x:v>
      </x:c>
      <x:c r="P57" s="2" t="n">
        <x:f>C38</x:f>
        <x:v>0</x:v>
      </x:c>
      <x:c r="Q57" s="2" t="n">
        <x:f>D38</x:f>
        <x:v>0</x:v>
      </x:c>
    </x:row>
    <x:row r="58" ht="21" customHeight="1">
      <x:c r="A58" s="17" t="n">
        <x:v>46020</x:v>
      </x:c>
      <x:c r="B58" s="15" t="n">
        <x:f>SUMIFS(Analysis!$Q$2:$Q$367,Analysis!$A$2:$A$367,A58)</x:f>
        <x:v>1816.5</x:v>
      </x:c>
      <x:c r="C58" s="15" t="n">
        <x:f>SUMIFS(Analysis!$S$2:$S$367,Analysis!$A$2:$A$367,A58)</x:f>
        <x:v>0</x:v>
      </x:c>
      <x:c r="D58" s="15" t="n">
        <x:f>SUMIFS(Analysis!$R$2:$R$367,Analysis!$A$2:$A$367,A58)</x:f>
        <x:v>0</x:v>
      </x:c>
      <x:c r="E58" s="2" t="n">
        <x:f>SUMIFS(Analysis!$F$2:$F$367,Analysis!$A$2:$A$367,A58)</x:f>
        <x:v>279</x:v>
      </x:c>
      <x:c r="F58" s="2" t="n">
        <x:f>SUMIFS(Analysis!$T$2:$T$367,Analysis!$A$2:$A$367,A58)</x:f>
        <x:v>267</x:v>
      </x:c>
      <x:c r="G58" s="2" t="n">
        <x:f>SUMIFS(Analysis!$U$2:$U$367,Analysis!$A$2:$A$367,A58)</x:f>
        <x:v>277</x:v>
      </x:c>
      <x:c r="H58" s="2"/>
      <x:c r="I58" s="2" t="str">
        <x:v>10</x:v>
      </x:c>
      <x:c r="J58" s="2" t="n">
        <x:f>E39</x:f>
        <x:v>305</x:v>
      </x:c>
      <x:c r="K58" s="2" t="n">
        <x:f>F39</x:f>
        <x:v>295</x:v>
      </x:c>
      <x:c r="L58" s="2" t="n">
        <x:f>G39</x:f>
        <x:v>306</x:v>
      </x:c>
      <x:c r="M58" s="2"/>
      <x:c r="N58" s="2" t="str">
        <x:v>10</x:v>
      </x:c>
      <x:c r="O58" s="2" t="n">
        <x:f>B39</x:f>
        <x:v>1993.5</x:v>
      </x:c>
      <x:c r="P58" s="2" t="n">
        <x:f>C39</x:f>
        <x:v>0</x:v>
      </x:c>
      <x:c r="Q58" s="2" t="n">
        <x:f>D39</x:f>
        <x:v>0</x:v>
      </x:c>
    </x:row>
    <x:row r="59" ht="21" customHeight="1">
      <x:c r="A59" s="17" t="n">
        <x:v>46021</x:v>
      </x:c>
      <x:c r="B59" s="15" t="n">
        <x:f>SUMIFS(Analysis!$Q$2:$Q$367,Analysis!$A$2:$A$367,A59)</x:f>
        <x:v>1944</x:v>
      </x:c>
      <x:c r="C59" s="15" t="n">
        <x:f>SUMIFS(Analysis!$S$2:$S$367,Analysis!$A$2:$A$367,A59)</x:f>
        <x:v>0</x:v>
      </x:c>
      <x:c r="D59" s="15" t="n">
        <x:f>SUMIFS(Analysis!$R$2:$R$367,Analysis!$A$2:$A$367,A59)</x:f>
        <x:v>0</x:v>
      </x:c>
      <x:c r="E59" s="2" t="n">
        <x:f>SUMIFS(Analysis!$F$2:$F$367,Analysis!$A$2:$A$367,A59)</x:f>
        <x:v>298</x:v>
      </x:c>
      <x:c r="F59" s="2" t="n">
        <x:f>SUMIFS(Analysis!$T$2:$T$367,Analysis!$A$2:$A$367,A59)</x:f>
        <x:v>289</x:v>
      </x:c>
      <x:c r="G59" s="2" t="n">
        <x:f>SUMIFS(Analysis!$U$2:$U$367,Analysis!$A$2:$A$367,A59)</x:f>
        <x:v>300</x:v>
      </x:c>
      <x:c r="H59" s="2"/>
      <x:c r="I59" s="2" t="str">
        <x:v>11</x:v>
      </x:c>
      <x:c r="J59" s="2" t="n">
        <x:f>E40</x:f>
        <x:v>328</x:v>
      </x:c>
      <x:c r="K59" s="2" t="n">
        <x:f>F40</x:f>
        <x:v>318</x:v>
      </x:c>
      <x:c r="L59" s="2" t="n">
        <x:f>G40</x:f>
        <x:v>330</x:v>
      </x:c>
      <x:c r="M59" s="2"/>
      <x:c r="N59" s="2" t="str">
        <x:v>11</x:v>
      </x:c>
      <x:c r="O59" s="2" t="n">
        <x:f>B40</x:f>
        <x:v>2139.5</x:v>
      </x:c>
      <x:c r="P59" s="2" t="n">
        <x:f>C40</x:f>
        <x:v>0</x:v>
      </x:c>
      <x:c r="Q59" s="2" t="n">
        <x:f>D40</x:f>
        <x:v>0</x:v>
      </x:c>
    </x:row>
    <x:row r="60" ht="21" customHeight="1">
      <x:c r="A60" s="17" t="n">
        <x:v>46022</x:v>
      </x:c>
      <x:c r="B60" s="15" t="n">
        <x:f>SUMIFS(Analysis!$Q$2:$Q$367,Analysis!$A$2:$A$367,A60)</x:f>
        <x:v>2015.5</x:v>
      </x:c>
      <x:c r="C60" s="15" t="n">
        <x:f>SUMIFS(Analysis!$S$2:$S$367,Analysis!$A$2:$A$367,A60)</x:f>
        <x:v>0</x:v>
      </x:c>
      <x:c r="D60" s="15" t="n">
        <x:f>SUMIFS(Analysis!$R$2:$R$367,Analysis!$A$2:$A$367,A60)</x:f>
        <x:v>0</x:v>
      </x:c>
      <x:c r="E60" s="2" t="n">
        <x:f>SUMIFS(Analysis!$F$2:$F$367,Analysis!$A$2:$A$367,A60)</x:f>
        <x:v>311</x:v>
      </x:c>
      <x:c r="F60" s="2" t="n">
        <x:f>SUMIFS(Analysis!$T$2:$T$367,Analysis!$A$2:$A$367,A60)</x:f>
        <x:v>295</x:v>
      </x:c>
      <x:c r="G60" s="2" t="n">
        <x:f>SUMIFS(Analysis!$U$2:$U$367,Analysis!$A$2:$A$367,A60)</x:f>
        <x:v>306</x:v>
      </x:c>
      <x:c r="H60" s="2"/>
      <x:c r="I60" s="2" t="str">
        <x:v>12</x:v>
      </x:c>
      <x:c r="J60" s="2" t="n">
        <x:f>E41</x:f>
        <x:v>393</x:v>
      </x:c>
      <x:c r="K60" s="2" t="n">
        <x:f>F41</x:f>
        <x:v>377</x:v>
      </x:c>
      <x:c r="L60" s="2" t="n">
        <x:f>G41</x:f>
        <x:v>393</x:v>
      </x:c>
      <x:c r="M60" s="2"/>
      <x:c r="N60" s="2" t="str">
        <x:v>12</x:v>
      </x:c>
      <x:c r="O60" s="2" t="n">
        <x:f>B41</x:f>
        <x:v>2586</x:v>
      </x:c>
      <x:c r="P60" s="2" t="n">
        <x:f>C41</x:f>
        <x:v>0</x:v>
      </x:c>
      <x:c r="Q60" s="2" t="n">
        <x:f>D41</x:f>
        <x:v>0</x:v>
      </x:c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 t="str">
        <x:v>13</x:v>
      </x:c>
      <x:c r="J61" s="2" t="n">
        <x:f>E42</x:f>
        <x:v>441</x:v>
      </x:c>
      <x:c r="K61" s="2" t="n">
        <x:f>F42</x:f>
        <x:v>410</x:v>
      </x:c>
      <x:c r="L61" s="2" t="n">
        <x:f>G42</x:f>
        <x:v>427</x:v>
      </x:c>
      <x:c r="M61" s="2"/>
      <x:c r="N61" s="2" t="str">
        <x:v>13</x:v>
      </x:c>
      <x:c r="O61" s="2" t="n">
        <x:f>B42</x:f>
        <x:v>2887</x:v>
      </x:c>
      <x:c r="P61" s="2" t="n">
        <x:f>C42</x:f>
        <x:v>0</x:v>
      </x:c>
      <x:c r="Q61" s="2" t="n">
        <x:f>D42</x:f>
        <x:v>0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 t="str">
        <x:v>14</x:v>
      </x:c>
      <x:c r="J62" s="2" t="n">
        <x:f>E43</x:f>
        <x:v>367</x:v>
      </x:c>
      <x:c r="K62" s="2" t="n">
        <x:f>F43</x:f>
        <x:v>349</x:v>
      </x:c>
      <x:c r="L62" s="2" t="n">
        <x:f>G43</x:f>
        <x:v>364</x:v>
      </x:c>
      <x:c r="M62" s="2"/>
      <x:c r="N62" s="2" t="str">
        <x:v>14</x:v>
      </x:c>
      <x:c r="O62" s="2" t="n">
        <x:f>B43</x:f>
        <x:v>2375</x:v>
      </x:c>
      <x:c r="P62" s="2" t="n">
        <x:f>C43</x:f>
        <x:v>0</x:v>
      </x:c>
      <x:c r="Q62" s="2" t="n">
        <x:f>D43</x:f>
        <x:v>0</x:v>
      </x:c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 t="str">
        <x:v>15</x:v>
      </x:c>
      <x:c r="J63" s="2" t="n">
        <x:f>E44</x:f>
        <x:v>288</x:v>
      </x:c>
      <x:c r="K63" s="2" t="n">
        <x:f>F44</x:f>
        <x:v>267</x:v>
      </x:c>
      <x:c r="L63" s="2" t="n">
        <x:f>G44</x:f>
        <x:v>277</x:v>
      </x:c>
      <x:c r="M63" s="2"/>
      <x:c r="N63" s="2" t="str">
        <x:v>15</x:v>
      </x:c>
      <x:c r="O63" s="2" t="n">
        <x:f>B44</x:f>
        <x:v>1881.5</x:v>
      </x:c>
      <x:c r="P63" s="2" t="n">
        <x:f>C44</x:f>
        <x:v>0</x:v>
      </x:c>
      <x:c r="Q63" s="2" t="n">
        <x:f>D44</x:f>
        <x:v>0</x:v>
      </x:c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 t="str">
        <x:v>16</x:v>
      </x:c>
      <x:c r="J64" s="2" t="n">
        <x:f>E45</x:f>
        <x:v>293</x:v>
      </x:c>
      <x:c r="K64" s="2" t="n">
        <x:f>F45</x:f>
        <x:v>289</x:v>
      </x:c>
      <x:c r="L64" s="2" t="n">
        <x:f>G45</x:f>
        <x:v>300</x:v>
      </x:c>
      <x:c r="M64" s="2"/>
      <x:c r="N64" s="2" t="str">
        <x:v>16</x:v>
      </x:c>
      <x:c r="O64" s="2" t="n">
        <x:f>B45</x:f>
        <x:v>1927.5</x:v>
      </x:c>
      <x:c r="P64" s="2" t="n">
        <x:f>C45</x:f>
        <x:v>0</x:v>
      </x:c>
      <x:c r="Q64" s="2" t="n">
        <x:f>D45</x:f>
        <x:v>0</x:v>
      </x:c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 t="str">
        <x:v>17</x:v>
      </x:c>
      <x:c r="J65" s="2" t="n">
        <x:f>E46</x:f>
        <x:v>305</x:v>
      </x:c>
      <x:c r="K65" s="2" t="n">
        <x:f>F46</x:f>
        <x:v>295</x:v>
      </x:c>
      <x:c r="L65" s="2" t="n">
        <x:f>G46</x:f>
        <x:v>306</x:v>
      </x:c>
      <x:c r="M65" s="2"/>
      <x:c r="N65" s="2" t="str">
        <x:v>17</x:v>
      </x:c>
      <x:c r="O65" s="2" t="n">
        <x:f>B46</x:f>
        <x:v>2008</x:v>
      </x:c>
      <x:c r="P65" s="2" t="n">
        <x:f>C46</x:f>
        <x:v>0</x:v>
      </x:c>
      <x:c r="Q65" s="2" t="n">
        <x:f>D46</x:f>
        <x:v>0</x:v>
      </x:c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 t="str">
        <x:v>18</x:v>
      </x:c>
      <x:c r="J66" s="2" t="n">
        <x:f>E47</x:f>
        <x:v>325</x:v>
      </x:c>
      <x:c r="K66" s="2" t="n">
        <x:f>F47</x:f>
        <x:v>318</x:v>
      </x:c>
      <x:c r="L66" s="2" t="n">
        <x:f>G47</x:f>
        <x:v>330</x:v>
      </x:c>
      <x:c r="M66" s="2"/>
      <x:c r="N66" s="2" t="str">
        <x:v>18</x:v>
      </x:c>
      <x:c r="O66" s="2" t="n">
        <x:f>B47</x:f>
        <x:v>2121</x:v>
      </x:c>
      <x:c r="P66" s="2" t="n">
        <x:f>C47</x:f>
        <x:v>0</x:v>
      </x:c>
      <x:c r="Q66" s="2" t="n">
        <x:f>D47</x:f>
        <x:v>0</x:v>
      </x:c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 t="str">
        <x:v>19</x:v>
      </x:c>
      <x:c r="J67" s="2" t="n">
        <x:f>E48</x:f>
        <x:v>395</x:v>
      </x:c>
      <x:c r="K67" s="2" t="n">
        <x:f>F48</x:f>
        <x:v>377</x:v>
      </x:c>
      <x:c r="L67" s="2" t="n">
        <x:f>G48</x:f>
        <x:v>393</x:v>
      </x:c>
      <x:c r="M67" s="2"/>
      <x:c r="N67" s="2" t="str">
        <x:v>19</x:v>
      </x:c>
      <x:c r="O67" s="2" t="n">
        <x:f>B48</x:f>
        <x:v>2589</x:v>
      </x:c>
      <x:c r="P67" s="2" t="n">
        <x:f>C48</x:f>
        <x:v>0</x:v>
      </x:c>
      <x:c r="Q67" s="2" t="n">
        <x:f>D48</x:f>
        <x:v>0</x:v>
      </x:c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 t="str">
        <x:v>20</x:v>
      </x:c>
      <x:c r="J68" s="2" t="n">
        <x:f>E49</x:f>
        <x:v>550</x:v>
      </x:c>
      <x:c r="K68" s="2" t="n">
        <x:f>F49</x:f>
        <x:v>410</x:v>
      </x:c>
      <x:c r="L68" s="2" t="n">
        <x:f>G49</x:f>
        <x:v>492</x:v>
      </x:c>
      <x:c r="M68" s="2"/>
      <x:c r="N68" s="2" t="str">
        <x:v>20</x:v>
      </x:c>
      <x:c r="O68" s="2" t="n">
        <x:f>B49</x:f>
        <x:v>3633.5</x:v>
      </x:c>
      <x:c r="P68" s="2" t="n">
        <x:f>C49</x:f>
        <x:v>0</x:v>
      </x:c>
      <x:c r="Q68" s="2" t="n">
        <x:f>D49</x:f>
        <x:v>0</x:v>
      </x:c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 t="str">
        <x:v>21</x:v>
      </x:c>
      <x:c r="J69" s="2" t="n">
        <x:f>E50</x:f>
        <x:v>460</x:v>
      </x:c>
      <x:c r="K69" s="2" t="n">
        <x:f>F50</x:f>
        <x:v>349</x:v>
      </x:c>
      <x:c r="L69" s="2" t="n">
        <x:f>G50</x:f>
        <x:v>420</x:v>
      </x:c>
      <x:c r="M69" s="2"/>
      <x:c r="N69" s="2" t="str">
        <x:v>21</x:v>
      </x:c>
      <x:c r="O69" s="2" t="n">
        <x:f>B50</x:f>
        <x:v>2645.5</x:v>
      </x:c>
      <x:c r="P69" s="2" t="n">
        <x:f>C50</x:f>
        <x:v>398</x:v>
      </x:c>
      <x:c r="Q69" s="2" t="n">
        <x:f>D50</x:f>
        <x:v>195</x:v>
      </x:c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 t="str">
        <x:v>22</x:v>
      </x:c>
      <x:c r="J70" s="2" t="n">
        <x:f>E51</x:f>
        <x:v>354</x:v>
      </x:c>
      <x:c r="K70" s="2" t="n">
        <x:f>F51</x:f>
        <x:v>267</x:v>
      </x:c>
      <x:c r="L70" s="2" t="n">
        <x:f>G51</x:f>
        <x:v>321</x:v>
      </x:c>
      <x:c r="M70" s="2"/>
      <x:c r="N70" s="2" t="str">
        <x:v>22</x:v>
      </x:c>
      <x:c r="O70" s="2" t="n">
        <x:f>B51</x:f>
        <x:v>2156.5</x:v>
      </x:c>
      <x:c r="P70" s="2" t="n">
        <x:f>C51</x:f>
        <x:v>149</x:v>
      </x:c>
      <x:c r="Q70" s="2" t="n">
        <x:f>D51</x:f>
        <x:v>270</x:v>
      </x:c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 t="str">
        <x:v>23</x:v>
      </x:c>
      <x:c r="J71" s="2" t="n">
        <x:f>E52</x:f>
        <x:v>372</x:v>
      </x:c>
      <x:c r="K71" s="2" t="n">
        <x:f>F52</x:f>
        <x:v>289</x:v>
      </x:c>
      <x:c r="L71" s="2" t="n">
        <x:f>G52</x:f>
        <x:v>347</x:v>
      </x:c>
      <x:c r="M71" s="2"/>
      <x:c r="N71" s="2" t="str">
        <x:v>23</x:v>
      </x:c>
      <x:c r="O71" s="2" t="n">
        <x:f>B52</x:f>
        <x:v>2255</x:v>
      </x:c>
      <x:c r="P71" s="2" t="n">
        <x:f>C52</x:f>
        <x:v>165.5</x:v>
      </x:c>
      <x:c r="Q71" s="2" t="n">
        <x:f>D52</x:f>
        <x:v>288</x:v>
      </x:c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 t="str">
        <x:v>24</x:v>
      </x:c>
      <x:c r="J72" s="2" t="n">
        <x:f>E53</x:f>
        <x:v>392</x:v>
      </x:c>
      <x:c r="K72" s="2" t="n">
        <x:f>F53</x:f>
        <x:v>295</x:v>
      </x:c>
      <x:c r="L72" s="2" t="n">
        <x:f>G53</x:f>
        <x:v>353</x:v>
      </x:c>
      <x:c r="M72" s="2"/>
      <x:c r="N72" s="2" t="str">
        <x:v>24</x:v>
      </x:c>
      <x:c r="O72" s="2" t="n">
        <x:f>B53</x:f>
        <x:v>2405.5</x:v>
      </x:c>
      <x:c r="P72" s="2" t="n">
        <x:f>C53</x:f>
        <x:v>173.5</x:v>
      </x:c>
      <x:c r="Q72" s="2" t="n">
        <x:f>D53</x:f>
        <x:v>304.5</x:v>
      </x:c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 t="str">
        <x:v>25</x:v>
      </x:c>
      <x:c r="J73" s="2" t="n">
        <x:f>E54</x:f>
        <x:v>0</x:v>
      </x:c>
      <x:c r="K73" s="2" t="n">
        <x:f>F54</x:f>
        <x:v>0</x:v>
      </x:c>
      <x:c r="L73" s="2" t="n">
        <x:f>G54</x:f>
        <x:v>0</x:v>
      </x:c>
      <x:c r="M73" s="2"/>
      <x:c r="N73" s="2" t="str">
        <x:v>25</x:v>
      </x:c>
      <x:c r="O73" s="2" t="n">
        <x:f>B54</x:f>
        <x:v>0</x:v>
      </x:c>
      <x:c r="P73" s="2" t="n">
        <x:f>C54</x:f>
        <x:v>0</x:v>
      </x:c>
      <x:c r="Q73" s="2" t="n">
        <x:f>D54</x:f>
        <x:v>0</x:v>
      </x:c>
    </x:row>
    <x:row r="74" ht="21" customHeight="1">
      <x:c r="A74" s="2"/>
      <x:c r="B74" s="2"/>
      <x:c r="C74" s="2"/>
      <x:c r="D74" s="2"/>
      <x:c r="E74" s="2"/>
      <x:c r="F74" s="2"/>
      <x:c r="G74" s="2"/>
      <x:c r="H74" s="2"/>
      <x:c r="I74" s="2" t="str">
        <x:v>26</x:v>
      </x:c>
      <x:c r="J74" s="2" t="n">
        <x:f>E55</x:f>
        <x:v>486</x:v>
      </x:c>
      <x:c r="K74" s="2" t="n">
        <x:f>F55</x:f>
        <x:v>377</x:v>
      </x:c>
      <x:c r="L74" s="2" t="n">
        <x:f>G55</x:f>
        <x:v>454</x:v>
      </x:c>
      <x:c r="M74" s="2"/>
      <x:c r="N74" s="2" t="str">
        <x:v>26</x:v>
      </x:c>
      <x:c r="O74" s="2" t="n">
        <x:f>B55</x:f>
        <x:v>3241</x:v>
      </x:c>
      <x:c r="P74" s="2" t="n">
        <x:f>C55</x:f>
        <x:v>0</x:v>
      </x:c>
      <x:c r="Q74" s="2" t="n">
        <x:f>D55</x:f>
        <x:v>0</x:v>
      </x:c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 t="str">
        <x:v>27</x:v>
      </x:c>
      <x:c r="J75" s="2" t="n">
        <x:f>E56</x:f>
        <x:v>431</x:v>
      </x:c>
      <x:c r="K75" s="2" t="n">
        <x:f>F56</x:f>
        <x:v>410</x:v>
      </x:c>
      <x:c r="L75" s="2" t="n">
        <x:f>G56</x:f>
        <x:v>427</x:v>
      </x:c>
      <x:c r="M75" s="2"/>
      <x:c r="N75" s="2" t="str">
        <x:v>27</x:v>
      </x:c>
      <x:c r="O75" s="2" t="n">
        <x:f>B56</x:f>
        <x:v>2810.5</x:v>
      </x:c>
      <x:c r="P75" s="2" t="n">
        <x:f>C56</x:f>
        <x:v>0</x:v>
      </x:c>
      <x:c r="Q75" s="2" t="n">
        <x:f>D56</x:f>
        <x:v>0</x:v>
      </x:c>
    </x:row>
    <x:row r="76" ht="21" customHeight="1">
      <x:c r="A76" s="2"/>
      <x:c r="B76" s="2"/>
      <x:c r="C76" s="2"/>
      <x:c r="D76" s="2"/>
      <x:c r="E76" s="2"/>
      <x:c r="F76" s="2"/>
      <x:c r="G76" s="2"/>
      <x:c r="H76" s="2"/>
      <x:c r="I76" s="2" t="str">
        <x:v>28</x:v>
      </x:c>
      <x:c r="J76" s="2" t="n">
        <x:f>E57</x:f>
        <x:v>367</x:v>
      </x:c>
      <x:c r="K76" s="2" t="n">
        <x:f>F57</x:f>
        <x:v>349</x:v>
      </x:c>
      <x:c r="L76" s="2" t="n">
        <x:f>G57</x:f>
        <x:v>364</x:v>
      </x:c>
      <x:c r="M76" s="2"/>
      <x:c r="N76" s="2" t="str">
        <x:v>28</x:v>
      </x:c>
      <x:c r="O76" s="2" t="n">
        <x:f>B57</x:f>
        <x:v>2390</x:v>
      </x:c>
      <x:c r="P76" s="2" t="n">
        <x:f>C57</x:f>
        <x:v>0</x:v>
      </x:c>
      <x:c r="Q76" s="2" t="n">
        <x:f>D57</x:f>
        <x:v>0</x:v>
      </x:c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 t="str">
        <x:v>29</x:v>
      </x:c>
      <x:c r="J77" s="2" t="n">
        <x:f>E58</x:f>
        <x:v>279</x:v>
      </x:c>
      <x:c r="K77" s="2" t="n">
        <x:f>F58</x:f>
        <x:v>267</x:v>
      </x:c>
      <x:c r="L77" s="2" t="n">
        <x:f>G58</x:f>
        <x:v>277</x:v>
      </x:c>
      <x:c r="M77" s="2"/>
      <x:c r="N77" s="2" t="str">
        <x:v>29</x:v>
      </x:c>
      <x:c r="O77" s="2" t="n">
        <x:f>B58</x:f>
        <x:v>1816.5</x:v>
      </x:c>
      <x:c r="P77" s="2" t="n">
        <x:f>C58</x:f>
        <x:v>0</x:v>
      </x:c>
      <x:c r="Q77" s="2" t="n">
        <x:f>D58</x:f>
        <x:v>0</x:v>
      </x:c>
    </x:row>
    <x:row r="78" ht="21" customHeight="1">
      <x:c r="A78" s="2"/>
      <x:c r="B78" s="2"/>
      <x:c r="C78" s="2"/>
      <x:c r="D78" s="2"/>
      <x:c r="E78" s="2"/>
      <x:c r="F78" s="2"/>
      <x:c r="G78" s="2"/>
      <x:c r="H78" s="2"/>
      <x:c r="I78" s="2" t="str">
        <x:v>30</x:v>
      </x:c>
      <x:c r="J78" s="2" t="n">
        <x:f>E59</x:f>
        <x:v>298</x:v>
      </x:c>
      <x:c r="K78" s="2" t="n">
        <x:f>F59</x:f>
        <x:v>289</x:v>
      </x:c>
      <x:c r="L78" s="2" t="n">
        <x:f>G59</x:f>
        <x:v>300</x:v>
      </x:c>
      <x:c r="M78" s="2"/>
      <x:c r="N78" s="2" t="str">
        <x:v>30</x:v>
      </x:c>
      <x:c r="O78" s="2" t="n">
        <x:f>B59</x:f>
        <x:v>1944</x:v>
      </x:c>
      <x:c r="P78" s="2" t="n">
        <x:f>C59</x:f>
        <x:v>0</x:v>
      </x:c>
      <x:c r="Q78" s="2" t="n">
        <x:f>D59</x:f>
        <x:v>0</x:v>
      </x:c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 t="str">
        <x:v>31</x:v>
      </x:c>
      <x:c r="J79" s="2" t="n">
        <x:f>E60</x:f>
        <x:v>311</x:v>
      </x:c>
      <x:c r="K79" s="2" t="n">
        <x:f>F60</x:f>
        <x:v>295</x:v>
      </x:c>
      <x:c r="L79" s="2" t="n">
        <x:f>G60</x:f>
        <x:v>306</x:v>
      </x:c>
      <x:c r="M79" s="2"/>
      <x:c r="N79" s="2" t="str">
        <x:v>31</x:v>
      </x:c>
      <x:c r="O79" s="2" t="n">
        <x:f>B60</x:f>
        <x:v>2015.5</x:v>
      </x:c>
      <x:c r="P79" s="2" t="n">
        <x:f>C60</x:f>
        <x:v>0</x:v>
      </x:c>
      <x:c r="Q79" s="2" t="n">
        <x:f>D60</x:f>
        <x:v>0</x:v>
      </x:c>
    </x:row>
  </x:sheetData>
  <x:pageMargins left="0.7" right="0.7" top="0.75" bottom="0.75" header="0.3" footer="0.3"/>
  <x:drawing xmlns:r="http://schemas.openxmlformats.org/officeDocument/2006/relationships" r:id="Re1f66d5e34f84a5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38" customHeight="1">
      <x:c r="A1" s="5" t="str">
        <x:v>Date</x:v>
      </x:c>
      <x:c r="B1" s="5" t="str">
        <x:v>ItemID</x:v>
      </x:c>
      <x:c r="C1" s="5" t="str">
        <x:v>Weekday</x:v>
      </x:c>
      <x:c r="D1" s="5" t="str">
        <x:v>Period</x:v>
      </x:c>
      <x:c r="E1" s="5" t="str">
        <x:v>PriceGBP</x:v>
      </x:c>
      <x:c r="F1" s="5" t="str">
        <x:v>DemandUnits</x:v>
      </x:c>
      <x:c r="G1" s="5" t="str">
        <x:v>OpeningUnits</x:v>
      </x:c>
      <x:c r="H1" s="5" t="str">
        <x:v>ReceiptUnits</x:v>
      </x:c>
      <x:c r="I1" s="5" t="str">
        <x:v>TransferInUnits</x:v>
      </x:c>
      <x:c r="J1" s="5" t="str">
        <x:v>TransferOutUnits</x:v>
      </x:c>
      <x:c r="K1" s="5" t="str">
        <x:v>StockoutHours</x:v>
      </x:c>
      <x:c r="L1" s="5" t="str">
        <x:v>DirectSalesUnits</x:v>
      </x:c>
      <x:c r="M1" s="5" t="str">
        <x:v>ClosingUnits</x:v>
      </x:c>
      <x:c r="N1" s="5" t="str">
        <x:v>ShortageUnits</x:v>
      </x:c>
      <x:c r="O1" s="5" t="str">
        <x:v>UnservedUnits</x:v>
      </x:c>
      <x:c r="P1" s="5" t="str">
        <x:v>SalesUnits</x:v>
      </x:c>
      <x:c r="Q1" s="5" t="str">
        <x:v>RevenueGBP</x:v>
      </x:c>
      <x:c r="R1" s="5" t="str">
        <x:v>SubstituteRevenueGBP</x:v>
      </x:c>
      <x:c r="S1" s="5" t="str">
        <x:v>UnservedValueGBP</x:v>
      </x:c>
      <x:c r="T1" s="5" t="str">
        <x:v>BaselineForecast</x:v>
      </x:c>
      <x:c r="U1" s="5" t="str">
        <x:v>AdjustedForecast</x:v>
      </x:c>
      <x:c r="V1" s="5" t="str">
        <x:v>BaselineAbsError</x:v>
      </x:c>
      <x:c r="W1" s="5" t="str">
        <x:v>AdjustedAbsError</x:v>
      </x:c>
      <x:c r="X1" s="5" t="str">
        <x:v>BaselineError</x:v>
      </x:c>
      <x:c r="Y1" s="5" t="str">
        <x:v>AdjustedError</x:v>
      </x:c>
      <x:c r="Z1" s="5" t="str">
        <x:v>StockoutItemDay</x:v>
      </x:c>
    </x:row>
    <x:row r="2" ht="21" customHeight="1">
      <x:c r="A2" s="6" t="n">
        <x:f>'Daily inputs'!A2</x:f>
        <x:v>45962</x:v>
      </x:c>
      <x:c r="B2" s="2" t="str">
        <x:f>'Daily inputs'!B2</x:f>
        <x:v>I01</x:v>
      </x:c>
      <x:c r="C2" s="2" t="n">
        <x:f>'Daily inputs'!C2</x:f>
        <x:v>6</x:v>
      </x:c>
      <x:c r="D2" s="2" t="str">
        <x:f>'Daily inputs'!D2</x:f>
        <x:v>Training</x:v>
      </x:c>
      <x:c r="E2" s="7" t="n">
        <x:f>'Daily inputs'!E2</x:f>
        <x:v>8.5</x:v>
      </x:c>
      <x:c r="F2" s="2" t="n">
        <x:f>'Daily inputs'!F2</x:f>
        <x:v>98</x:v>
      </x:c>
      <x:c r="G2" s="2" t="n">
        <x:f>'Daily inputs'!G2</x:f>
        <x:v>80</x:v>
      </x:c>
      <x:c r="H2" s="2" t="n">
        <x:f>'Daily inputs'!H2</x:f>
        <x:v>33</x:v>
      </x:c>
      <x:c r="I2" s="2" t="n">
        <x:f>'Daily inputs'!I2</x:f>
        <x:v>0</x:v>
      </x:c>
      <x:c r="J2" s="2" t="n">
        <x:f>'Daily inputs'!J2</x:f>
        <x:v>0</x:v>
      </x:c>
      <x:c r="K2" s="2" t="n">
        <x:f>'Daily inputs'!K2</x:f>
        <x:v>0</x:v>
      </x:c>
      <x:c r="L2" s="2" t="n">
        <x:f>MIN(F2,G2+H2-I2)</x:f>
        <x:v>98</x:v>
      </x:c>
      <x:c r="M2" s="2" t="n">
        <x:f>G2+H2-L2-I2</x:f>
        <x:v>15</x:v>
      </x:c>
      <x:c r="N2" s="2" t="n">
        <x:f>F2-L2</x:f>
        <x:v>0</x:v>
      </x:c>
      <x:c r="O2" s="2" t="n">
        <x:f>N2-J2</x:f>
        <x:v>0</x:v>
      </x:c>
      <x:c r="P2" s="2" t="n">
        <x:f>L2+I2</x:f>
        <x:v>98</x:v>
      </x:c>
      <x:c r="Q2" s="8" t="n">
        <x:f>P2*E2</x:f>
        <x:v>833</x:v>
      </x:c>
      <x:c r="R2" s="8" t="n">
        <x:f>I2*E2</x:f>
        <x:v>0</x:v>
      </x:c>
      <x:c r="S2" s="8" t="n">
        <x:f>O2*E2</x:f>
        <x:v>0</x:v>
      </x:c>
      <x:c r="T2" s="2" t="str">
        <x:f>IF(A2&lt;DATE(2025,12,1),"",IF(D2="Closed",0,ROUND(AVERAGEIFS('Daily inputs'!$F$2:$F$367,'Daily inputs'!$B$2:$B$367,B2,'Daily inputs'!$C$2:$C$367,C2,'Daily inputs'!$D$2:$D$367,"Training"),0)))</x:f>
      </x:c>
      <x:c r="U2" s="2" t="str">
        <x:f>IF(A2&lt;DATE(2025,12,1),"",ROUND(T2*IF(D2="Christmas",Notes!$B$9,Notes!$B$8),0))</x:f>
      </x:c>
      <x:c r="V2" s="2" t="str">
        <x:f>IF(A2&lt;DATE(2025,12,1),"",ABS(T2-F2))</x:f>
      </x:c>
      <x:c r="W2" s="2" t="str">
        <x:f>IF(A2&lt;DATE(2025,12,1),"",ABS(U2-F2))</x:f>
      </x:c>
      <x:c r="X2" s="2" t="str">
        <x:f>IF(A2&lt;DATE(2025,12,1),"",T2-F2)</x:f>
      </x:c>
      <x:c r="Y2" s="2" t="str">
        <x:f>IF(A2&lt;DATE(2025,12,1),"",U2-F2)</x:f>
      </x:c>
      <x:c r="Z2" s="2" t="n">
        <x:f>IF(N2&gt;0,1,0)</x:f>
        <x:v>0</x:v>
      </x:c>
    </x:row>
    <x:row r="3" ht="21" customHeight="1">
      <x:c r="A3" s="6" t="n">
        <x:f>'Daily inputs'!A3</x:f>
        <x:v>45962</x:v>
      </x:c>
      <x:c r="B3" s="2" t="str">
        <x:f>'Daily inputs'!B3</x:f>
        <x:v>I02</x:v>
      </x:c>
      <x:c r="C3" s="2" t="n">
        <x:f>'Daily inputs'!C3</x:f>
        <x:v>6</x:v>
      </x:c>
      <x:c r="D3" s="2" t="str">
        <x:f>'Daily inputs'!D3</x:f>
        <x:v>Training</x:v>
      </x:c>
      <x:c r="E3" s="7" t="n">
        <x:f>'Daily inputs'!E3</x:f>
        <x:v>8</x:v>
      </x:c>
      <x:c r="F3" s="2" t="n">
        <x:f>'Daily inputs'!F3</x:f>
        <x:v>78</x:v>
      </x:c>
      <x:c r="G3" s="2" t="n">
        <x:f>'Daily inputs'!G3</x:f>
        <x:v>65</x:v>
      </x:c>
      <x:c r="H3" s="2" t="n">
        <x:f>'Daily inputs'!H3</x:f>
        <x:v>25</x:v>
      </x:c>
      <x:c r="I3" s="2" t="n">
        <x:f>'Daily inputs'!I3</x:f>
        <x:v>0</x:v>
      </x:c>
      <x:c r="J3" s="2" t="n">
        <x:f>'Daily inputs'!J3</x:f>
        <x:v>0</x:v>
      </x:c>
      <x:c r="K3" s="2" t="n">
        <x:f>'Daily inputs'!K3</x:f>
        <x:v>0</x:v>
      </x:c>
      <x:c r="L3" s="2" t="n">
        <x:f>MIN(F3,G3+H3-I3)</x:f>
        <x:v>78</x:v>
      </x:c>
      <x:c r="M3" s="2" t="n">
        <x:f>G3+H3-L3-I3</x:f>
        <x:v>12</x:v>
      </x:c>
      <x:c r="N3" s="2" t="n">
        <x:f>F3-L3</x:f>
        <x:v>0</x:v>
      </x:c>
      <x:c r="O3" s="2" t="n">
        <x:f>N3-J3</x:f>
        <x:v>0</x:v>
      </x:c>
      <x:c r="P3" s="2" t="n">
        <x:f>L3+I3</x:f>
        <x:v>78</x:v>
      </x:c>
      <x:c r="Q3" s="8" t="n">
        <x:f>P3*E3</x:f>
        <x:v>624</x:v>
      </x:c>
      <x:c r="R3" s="8" t="n">
        <x:f>I3*E3</x:f>
        <x:v>0</x:v>
      </x:c>
      <x:c r="S3" s="8" t="n">
        <x:f>O3*E3</x:f>
        <x:v>0</x:v>
      </x:c>
      <x:c r="T3" s="2" t="str">
        <x:f>IF(A3&lt;DATE(2025,12,1),"",IF(D3="Closed",0,ROUND(AVERAGEIFS('Daily inputs'!$F$2:$F$367,'Daily inputs'!$B$2:$B$367,B3,'Daily inputs'!$C$2:$C$367,C3,'Daily inputs'!$D$2:$D$367,"Training"),0)))</x:f>
      </x:c>
      <x:c r="U3" s="2" t="str">
        <x:f>IF(A3&lt;DATE(2025,12,1),"",ROUND(T3*IF(D3="Christmas",Notes!$B$9,Notes!$B$8),0))</x:f>
      </x:c>
      <x:c r="V3" s="2" t="str">
        <x:f>IF(A3&lt;DATE(2025,12,1),"",ABS(T3-F3))</x:f>
      </x:c>
      <x:c r="W3" s="2" t="str">
        <x:f>IF(A3&lt;DATE(2025,12,1),"",ABS(U3-F3))</x:f>
      </x:c>
      <x:c r="X3" s="2" t="str">
        <x:f>IF(A3&lt;DATE(2025,12,1),"",T3-F3)</x:f>
      </x:c>
      <x:c r="Y3" s="2" t="str">
        <x:f>IF(A3&lt;DATE(2025,12,1),"",U3-F3)</x:f>
      </x:c>
      <x:c r="Z3" s="2" t="n">
        <x:f>IF(N3&gt;0,1,0)</x:f>
        <x:v>0</x:v>
      </x:c>
    </x:row>
    <x:row r="4" ht="21" customHeight="1">
      <x:c r="A4" s="6" t="n">
        <x:f>'Daily inputs'!A4</x:f>
        <x:v>45962</x:v>
      </x:c>
      <x:c r="B4" s="2" t="str">
        <x:f>'Daily inputs'!B4</x:f>
        <x:v>I03</x:v>
      </x:c>
      <x:c r="C4" s="2" t="n">
        <x:f>'Daily inputs'!C4</x:f>
        <x:v>6</x:v>
      </x:c>
      <x:c r="D4" s="2" t="str">
        <x:f>'Daily inputs'!D4</x:f>
        <x:v>Training</x:v>
      </x:c>
      <x:c r="E4" s="7" t="n">
        <x:f>'Daily inputs'!E4</x:f>
        <x:v>7.5</x:v>
      </x:c>
      <x:c r="F4" s="2" t="n">
        <x:f>'Daily inputs'!F4</x:f>
        <x:v>43</x:v>
      </x:c>
      <x:c r="G4" s="2" t="n">
        <x:f>'Daily inputs'!G4</x:f>
        <x:v>45</x:v>
      </x:c>
      <x:c r="H4" s="2" t="n">
        <x:f>'Daily inputs'!H4</x:f>
        <x:v>4</x:v>
      </x:c>
      <x:c r="I4" s="2" t="n">
        <x:f>'Daily inputs'!I4</x:f>
        <x:v>0</x:v>
      </x:c>
      <x:c r="J4" s="2" t="n">
        <x:f>'Daily inputs'!J4</x:f>
        <x:v>0</x:v>
      </x:c>
      <x:c r="K4" s="2" t="n">
        <x:f>'Daily inputs'!K4</x:f>
        <x:v>0</x:v>
      </x:c>
      <x:c r="L4" s="2" t="n">
        <x:f>MIN(F4,G4+H4-I4)</x:f>
        <x:v>43</x:v>
      </x:c>
      <x:c r="M4" s="2" t="n">
        <x:f>G4+H4-L4-I4</x:f>
        <x:v>6</x:v>
      </x:c>
      <x:c r="N4" s="2" t="n">
        <x:f>F4-L4</x:f>
        <x:v>0</x:v>
      </x:c>
      <x:c r="O4" s="2" t="n">
        <x:f>N4-J4</x:f>
        <x:v>0</x:v>
      </x:c>
      <x:c r="P4" s="2" t="n">
        <x:f>L4+I4</x:f>
        <x:v>43</x:v>
      </x:c>
      <x:c r="Q4" s="8" t="n">
        <x:f>P4*E4</x:f>
        <x:v>322.5</x:v>
      </x:c>
      <x:c r="R4" s="8" t="n">
        <x:f>I4*E4</x:f>
        <x:v>0</x:v>
      </x:c>
      <x:c r="S4" s="8" t="n">
        <x:f>O4*E4</x:f>
        <x:v>0</x:v>
      </x:c>
      <x:c r="T4" s="2" t="str">
        <x:f>IF(A4&lt;DATE(2025,12,1),"",IF(D4="Closed",0,ROUND(AVERAGEIFS('Daily inputs'!$F$2:$F$367,'Daily inputs'!$B$2:$B$367,B4,'Daily inputs'!$C$2:$C$367,C4,'Daily inputs'!$D$2:$D$367,"Training"),0)))</x:f>
      </x:c>
      <x:c r="U4" s="2" t="str">
        <x:f>IF(A4&lt;DATE(2025,12,1),"",ROUND(T4*IF(D4="Christmas",Notes!$B$9,Notes!$B$8),0))</x:f>
      </x:c>
      <x:c r="V4" s="2" t="str">
        <x:f>IF(A4&lt;DATE(2025,12,1),"",ABS(T4-F4))</x:f>
      </x:c>
      <x:c r="W4" s="2" t="str">
        <x:f>IF(A4&lt;DATE(2025,12,1),"",ABS(U4-F4))</x:f>
      </x:c>
      <x:c r="X4" s="2" t="str">
        <x:f>IF(A4&lt;DATE(2025,12,1),"",T4-F4)</x:f>
      </x:c>
      <x:c r="Y4" s="2" t="str">
        <x:f>IF(A4&lt;DATE(2025,12,1),"",U4-F4)</x:f>
      </x:c>
      <x:c r="Z4" s="2" t="n">
        <x:f>IF(N4&gt;0,1,0)</x:f>
        <x:v>0</x:v>
      </x:c>
    </x:row>
    <x:row r="5" ht="21" customHeight="1">
      <x:c r="A5" s="6" t="n">
        <x:f>'Daily inputs'!A5</x:f>
        <x:v>45962</x:v>
      </x:c>
      <x:c r="B5" s="2" t="str">
        <x:f>'Daily inputs'!B5</x:f>
        <x:v>I04</x:v>
      </x:c>
      <x:c r="C5" s="2" t="n">
        <x:f>'Daily inputs'!C5</x:f>
        <x:v>6</x:v>
      </x:c>
      <x:c r="D5" s="2" t="str">
        <x:f>'Daily inputs'!D5</x:f>
        <x:v>Training</x:v>
      </x:c>
      <x:c r="E5" s="7" t="n">
        <x:f>'Daily inputs'!E5</x:f>
        <x:v>9</x:v>
      </x:c>
      <x:c r="F5" s="2" t="n">
        <x:f>'Daily inputs'!F5</x:f>
        <x:v>54</x:v>
      </x:c>
      <x:c r="G5" s="2" t="n">
        <x:f>'Daily inputs'!G5</x:f>
        <x:v>50</x:v>
      </x:c>
      <x:c r="H5" s="2" t="n">
        <x:f>'Daily inputs'!H5</x:f>
        <x:v>12</x:v>
      </x:c>
      <x:c r="I5" s="2" t="n">
        <x:f>'Daily inputs'!I5</x:f>
        <x:v>0</x:v>
      </x:c>
      <x:c r="J5" s="2" t="n">
        <x:f>'Daily inputs'!J5</x:f>
        <x:v>0</x:v>
      </x:c>
      <x:c r="K5" s="2" t="n">
        <x:f>'Daily inputs'!K5</x:f>
        <x:v>0</x:v>
      </x:c>
      <x:c r="L5" s="2" t="n">
        <x:f>MIN(F5,G5+H5-I5)</x:f>
        <x:v>54</x:v>
      </x:c>
      <x:c r="M5" s="2" t="n">
        <x:f>G5+H5-L5-I5</x:f>
        <x:v>8</x:v>
      </x:c>
      <x:c r="N5" s="2" t="n">
        <x:f>F5-L5</x:f>
        <x:v>0</x:v>
      </x:c>
      <x:c r="O5" s="2" t="n">
        <x:f>N5-J5</x:f>
        <x:v>0</x:v>
      </x:c>
      <x:c r="P5" s="2" t="n">
        <x:f>L5+I5</x:f>
        <x:v>54</x:v>
      </x:c>
      <x:c r="Q5" s="8" t="n">
        <x:f>P5*E5</x:f>
        <x:v>486</x:v>
      </x:c>
      <x:c r="R5" s="8" t="n">
        <x:f>I5*E5</x:f>
        <x:v>0</x:v>
      </x:c>
      <x:c r="S5" s="8" t="n">
        <x:f>O5*E5</x:f>
        <x:v>0</x:v>
      </x:c>
      <x:c r="T5" s="2" t="str">
        <x:f>IF(A5&lt;DATE(2025,12,1),"",IF(D5="Closed",0,ROUND(AVERAGEIFS('Daily inputs'!$F$2:$F$367,'Daily inputs'!$B$2:$B$367,B5,'Daily inputs'!$C$2:$C$367,C5,'Daily inputs'!$D$2:$D$367,"Training"),0)))</x:f>
      </x:c>
      <x:c r="U5" s="2" t="str">
        <x:f>IF(A5&lt;DATE(2025,12,1),"",ROUND(T5*IF(D5="Christmas",Notes!$B$9,Notes!$B$8),0))</x:f>
      </x:c>
      <x:c r="V5" s="2" t="str">
        <x:f>IF(A5&lt;DATE(2025,12,1),"",ABS(T5-F5))</x:f>
      </x:c>
      <x:c r="W5" s="2" t="str">
        <x:f>IF(A5&lt;DATE(2025,12,1),"",ABS(U5-F5))</x:f>
      </x:c>
      <x:c r="X5" s="2" t="str">
        <x:f>IF(A5&lt;DATE(2025,12,1),"",T5-F5)</x:f>
      </x:c>
      <x:c r="Y5" s="2" t="str">
        <x:f>IF(A5&lt;DATE(2025,12,1),"",U5-F5)</x:f>
      </x:c>
      <x:c r="Z5" s="2" t="n">
        <x:f>IF(N5&gt;0,1,0)</x:f>
        <x:v>0</x:v>
      </x:c>
    </x:row>
    <x:row r="6" ht="21" customHeight="1">
      <x:c r="A6" s="6" t="n">
        <x:f>'Daily inputs'!A6</x:f>
        <x:v>45962</x:v>
      </x:c>
      <x:c r="B6" s="2" t="str">
        <x:f>'Daily inputs'!B6</x:f>
        <x:v>I05</x:v>
      </x:c>
      <x:c r="C6" s="2" t="n">
        <x:f>'Daily inputs'!C6</x:f>
        <x:v>6</x:v>
      </x:c>
      <x:c r="D6" s="2" t="str">
        <x:f>'Daily inputs'!D6</x:f>
        <x:v>Training</x:v>
      </x:c>
      <x:c r="E6" s="7" t="n">
        <x:f>'Daily inputs'!E6</x:f>
        <x:v>3.5</x:v>
      </x:c>
      <x:c r="F6" s="2" t="n">
        <x:f>'Daily inputs'!F6</x:f>
        <x:v>111</x:v>
      </x:c>
      <x:c r="G6" s="2" t="n">
        <x:f>'Daily inputs'!G6</x:f>
        <x:v>90</x:v>
      </x:c>
      <x:c r="H6" s="2" t="n">
        <x:f>'Daily inputs'!H6</x:f>
        <x:v>38</x:v>
      </x:c>
      <x:c r="I6" s="2" t="n">
        <x:f>'Daily inputs'!I6</x:f>
        <x:v>0</x:v>
      </x:c>
      <x:c r="J6" s="2" t="n">
        <x:f>'Daily inputs'!J6</x:f>
        <x:v>0</x:v>
      </x:c>
      <x:c r="K6" s="2" t="n">
        <x:f>'Daily inputs'!K6</x:f>
        <x:v>0</x:v>
      </x:c>
      <x:c r="L6" s="2" t="n">
        <x:f>MIN(F6,G6+H6-I6)</x:f>
        <x:v>111</x:v>
      </x:c>
      <x:c r="M6" s="2" t="n">
        <x:f>G6+H6-L6-I6</x:f>
        <x:v>17</x:v>
      </x:c>
      <x:c r="N6" s="2" t="n">
        <x:f>F6-L6</x:f>
        <x:v>0</x:v>
      </x:c>
      <x:c r="O6" s="2" t="n">
        <x:f>N6-J6</x:f>
        <x:v>0</x:v>
      </x:c>
      <x:c r="P6" s="2" t="n">
        <x:f>L6+I6</x:f>
        <x:v>111</x:v>
      </x:c>
      <x:c r="Q6" s="8" t="n">
        <x:f>P6*E6</x:f>
        <x:v>388.5</x:v>
      </x:c>
      <x:c r="R6" s="8" t="n">
        <x:f>I6*E6</x:f>
        <x:v>0</x:v>
      </x:c>
      <x:c r="S6" s="8" t="n">
        <x:f>O6*E6</x:f>
        <x:v>0</x:v>
      </x:c>
      <x:c r="T6" s="2" t="str">
        <x:f>IF(A6&lt;DATE(2025,12,1),"",IF(D6="Closed",0,ROUND(AVERAGEIFS('Daily inputs'!$F$2:$F$367,'Daily inputs'!$B$2:$B$367,B6,'Daily inputs'!$C$2:$C$367,C6,'Daily inputs'!$D$2:$D$367,"Training"),0)))</x:f>
      </x:c>
      <x:c r="U6" s="2" t="str">
        <x:f>IF(A6&lt;DATE(2025,12,1),"",ROUND(T6*IF(D6="Christmas",Notes!$B$9,Notes!$B$8),0))</x:f>
      </x:c>
      <x:c r="V6" s="2" t="str">
        <x:f>IF(A6&lt;DATE(2025,12,1),"",ABS(T6-F6))</x:f>
      </x:c>
      <x:c r="W6" s="2" t="str">
        <x:f>IF(A6&lt;DATE(2025,12,1),"",ABS(U6-F6))</x:f>
      </x:c>
      <x:c r="X6" s="2" t="str">
        <x:f>IF(A6&lt;DATE(2025,12,1),"",T6-F6)</x:f>
      </x:c>
      <x:c r="Y6" s="2" t="str">
        <x:f>IF(A6&lt;DATE(2025,12,1),"",U6-F6)</x:f>
      </x:c>
      <x:c r="Z6" s="2" t="n">
        <x:f>IF(N6&gt;0,1,0)</x:f>
        <x:v>0</x:v>
      </x:c>
    </x:row>
    <x:row r="7" ht="21" customHeight="1">
      <x:c r="A7" s="6" t="n">
        <x:f>'Daily inputs'!A7</x:f>
        <x:v>45962</x:v>
      </x:c>
      <x:c r="B7" s="2" t="str">
        <x:f>'Daily inputs'!B7</x:f>
        <x:v>I06</x:v>
      </x:c>
      <x:c r="C7" s="2" t="n">
        <x:f>'Daily inputs'!C7</x:f>
        <x:v>6</x:v>
      </x:c>
      <x:c r="D7" s="2" t="str">
        <x:f>'Daily inputs'!D7</x:f>
        <x:v>Training</x:v>
      </x:c>
      <x:c r="E7" s="7" t="n">
        <x:f>'Daily inputs'!E7</x:f>
        <x:v>3</x:v>
      </x:c>
      <x:c r="F7" s="2" t="n">
        <x:f>'Daily inputs'!F7</x:f>
        <x:v>41</x:v>
      </x:c>
      <x:c r="G7" s="2" t="n">
        <x:f>'Daily inputs'!G7</x:f>
        <x:v>40</x:v>
      </x:c>
      <x:c r="H7" s="2" t="n">
        <x:f>'Daily inputs'!H7</x:f>
        <x:v>7</x:v>
      </x:c>
      <x:c r="I7" s="2" t="n">
        <x:f>'Daily inputs'!I7</x:f>
        <x:v>0</x:v>
      </x:c>
      <x:c r="J7" s="2" t="n">
        <x:f>'Daily inputs'!J7</x:f>
        <x:v>0</x:v>
      </x:c>
      <x:c r="K7" s="2" t="n">
        <x:f>'Daily inputs'!K7</x:f>
        <x:v>0</x:v>
      </x:c>
      <x:c r="L7" s="2" t="n">
        <x:f>MIN(F7,G7+H7-I7)</x:f>
        <x:v>41</x:v>
      </x:c>
      <x:c r="M7" s="2" t="n">
        <x:f>G7+H7-L7-I7</x:f>
        <x:v>6</x:v>
      </x:c>
      <x:c r="N7" s="2" t="n">
        <x:f>F7-L7</x:f>
        <x:v>0</x:v>
      </x:c>
      <x:c r="O7" s="2" t="n">
        <x:f>N7-J7</x:f>
        <x:v>0</x:v>
      </x:c>
      <x:c r="P7" s="2" t="n">
        <x:f>L7+I7</x:f>
        <x:v>41</x:v>
      </x:c>
      <x:c r="Q7" s="8" t="n">
        <x:f>P7*E7</x:f>
        <x:v>123</x:v>
      </x:c>
      <x:c r="R7" s="8" t="n">
        <x:f>I7*E7</x:f>
        <x:v>0</x:v>
      </x:c>
      <x:c r="S7" s="8" t="n">
        <x:f>O7*E7</x:f>
        <x:v>0</x:v>
      </x:c>
      <x:c r="T7" s="2" t="str">
        <x:f>IF(A7&lt;DATE(2025,12,1),"",IF(D7="Closed",0,ROUND(AVERAGEIFS('Daily inputs'!$F$2:$F$367,'Daily inputs'!$B$2:$B$367,B7,'Daily inputs'!$C$2:$C$367,C7,'Daily inputs'!$D$2:$D$367,"Training"),0)))</x:f>
      </x:c>
      <x:c r="U7" s="2" t="str">
        <x:f>IF(A7&lt;DATE(2025,12,1),"",ROUND(T7*IF(D7="Christmas",Notes!$B$9,Notes!$B$8),0))</x:f>
      </x:c>
      <x:c r="V7" s="2" t="str">
        <x:f>IF(A7&lt;DATE(2025,12,1),"",ABS(T7-F7))</x:f>
      </x:c>
      <x:c r="W7" s="2" t="str">
        <x:f>IF(A7&lt;DATE(2025,12,1),"",ABS(U7-F7))</x:f>
      </x:c>
      <x:c r="X7" s="2" t="str">
        <x:f>IF(A7&lt;DATE(2025,12,1),"",T7-F7)</x:f>
      </x:c>
      <x:c r="Y7" s="2" t="str">
        <x:f>IF(A7&lt;DATE(2025,12,1),"",U7-F7)</x:f>
      </x:c>
      <x:c r="Z7" s="2" t="n">
        <x:f>IF(N7&gt;0,1,0)</x:f>
        <x:v>0</x:v>
      </x:c>
    </x:row>
    <x:row r="8" ht="21" customHeight="1">
      <x:c r="A8" s="6" t="n">
        <x:f>'Daily inputs'!A8</x:f>
        <x:v>45963</x:v>
      </x:c>
      <x:c r="B8" s="2" t="str">
        <x:f>'Daily inputs'!B8</x:f>
        <x:v>I01</x:v>
      </x:c>
      <x:c r="C8" s="2" t="n">
        <x:f>'Daily inputs'!C8</x:f>
        <x:v>7</x:v>
      </x:c>
      <x:c r="D8" s="2" t="str">
        <x:f>'Daily inputs'!D8</x:f>
        <x:v>Training</x:v>
      </x:c>
      <x:c r="E8" s="7" t="n">
        <x:f>'Daily inputs'!E8</x:f>
        <x:v>8.5</x:v>
      </x:c>
      <x:c r="F8" s="2" t="n">
        <x:f>'Daily inputs'!F8</x:f>
        <x:v>75</x:v>
      </x:c>
      <x:c r="G8" s="2" t="n">
        <x:f>'Daily inputs'!G8</x:f>
        <x:v>15</x:v>
      </x:c>
      <x:c r="H8" s="2" t="n">
        <x:f>'Daily inputs'!H8</x:f>
        <x:v>71</x:v>
      </x:c>
      <x:c r="I8" s="2" t="n">
        <x:f>'Daily inputs'!I8</x:f>
        <x:v>0</x:v>
      </x:c>
      <x:c r="J8" s="2" t="n">
        <x:f>'Daily inputs'!J8</x:f>
        <x:v>0</x:v>
      </x:c>
      <x:c r="K8" s="2" t="n">
        <x:f>'Daily inputs'!K8</x:f>
        <x:v>0</x:v>
      </x:c>
      <x:c r="L8" s="2" t="n">
        <x:f>MIN(F8,G8+H8-I8)</x:f>
        <x:v>75</x:v>
      </x:c>
      <x:c r="M8" s="2" t="n">
        <x:f>G8+H8-L8-I8</x:f>
        <x:v>11</x:v>
      </x:c>
      <x:c r="N8" s="2" t="n">
        <x:f>F8-L8</x:f>
        <x:v>0</x:v>
      </x:c>
      <x:c r="O8" s="2" t="n">
        <x:f>N8-J8</x:f>
        <x:v>0</x:v>
      </x:c>
      <x:c r="P8" s="2" t="n">
        <x:f>L8+I8</x:f>
        <x:v>75</x:v>
      </x:c>
      <x:c r="Q8" s="8" t="n">
        <x:f>P8*E8</x:f>
        <x:v>637.5</x:v>
      </x:c>
      <x:c r="R8" s="8" t="n">
        <x:f>I8*E8</x:f>
        <x:v>0</x:v>
      </x:c>
      <x:c r="S8" s="8" t="n">
        <x:f>O8*E8</x:f>
        <x:v>0</x:v>
      </x:c>
      <x:c r="T8" s="2" t="str">
        <x:f>IF(A8&lt;DATE(2025,12,1),"",IF(D8="Closed",0,ROUND(AVERAGEIFS('Daily inputs'!$F$2:$F$367,'Daily inputs'!$B$2:$B$367,B8,'Daily inputs'!$C$2:$C$367,C8,'Daily inputs'!$D$2:$D$367,"Training"),0)))</x:f>
      </x:c>
      <x:c r="U8" s="2" t="str">
        <x:f>IF(A8&lt;DATE(2025,12,1),"",ROUND(T8*IF(D8="Christmas",Notes!$B$9,Notes!$B$8),0))</x:f>
      </x:c>
      <x:c r="V8" s="2" t="str">
        <x:f>IF(A8&lt;DATE(2025,12,1),"",ABS(T8-F8))</x:f>
      </x:c>
      <x:c r="W8" s="2" t="str">
        <x:f>IF(A8&lt;DATE(2025,12,1),"",ABS(U8-F8))</x:f>
      </x:c>
      <x:c r="X8" s="2" t="str">
        <x:f>IF(A8&lt;DATE(2025,12,1),"",T8-F8)</x:f>
      </x:c>
      <x:c r="Y8" s="2" t="str">
        <x:f>IF(A8&lt;DATE(2025,12,1),"",U8-F8)</x:f>
      </x:c>
      <x:c r="Z8" s="2" t="n">
        <x:f>IF(N8&gt;0,1,0)</x:f>
        <x:v>0</x:v>
      </x:c>
    </x:row>
    <x:row r="9" ht="21" customHeight="1">
      <x:c r="A9" s="6" t="n">
        <x:f>'Daily inputs'!A9</x:f>
        <x:v>45963</x:v>
      </x:c>
      <x:c r="B9" s="2" t="str">
        <x:f>'Daily inputs'!B9</x:f>
        <x:v>I02</x:v>
      </x:c>
      <x:c r="C9" s="2" t="n">
        <x:f>'Daily inputs'!C9</x:f>
        <x:v>7</x:v>
      </x:c>
      <x:c r="D9" s="2" t="str">
        <x:f>'Daily inputs'!D9</x:f>
        <x:v>Training</x:v>
      </x:c>
      <x:c r="E9" s="7" t="n">
        <x:f>'Daily inputs'!E9</x:f>
        <x:v>8</x:v>
      </x:c>
      <x:c r="F9" s="2" t="n">
        <x:f>'Daily inputs'!F9</x:f>
        <x:v>60</x:v>
      </x:c>
      <x:c r="G9" s="2" t="n">
        <x:f>'Daily inputs'!G9</x:f>
        <x:v>12</x:v>
      </x:c>
      <x:c r="H9" s="2" t="n">
        <x:f>'Daily inputs'!H9</x:f>
        <x:v>57</x:v>
      </x:c>
      <x:c r="I9" s="2" t="n">
        <x:f>'Daily inputs'!I9</x:f>
        <x:v>0</x:v>
      </x:c>
      <x:c r="J9" s="2" t="n">
        <x:f>'Daily inputs'!J9</x:f>
        <x:v>0</x:v>
      </x:c>
      <x:c r="K9" s="2" t="n">
        <x:f>'Daily inputs'!K9</x:f>
        <x:v>0</x:v>
      </x:c>
      <x:c r="L9" s="2" t="n">
        <x:f>MIN(F9,G9+H9-I9)</x:f>
        <x:v>60</x:v>
      </x:c>
      <x:c r="M9" s="2" t="n">
        <x:f>G9+H9-L9-I9</x:f>
        <x:v>9</x:v>
      </x:c>
      <x:c r="N9" s="2" t="n">
        <x:f>F9-L9</x:f>
        <x:v>0</x:v>
      </x:c>
      <x:c r="O9" s="2" t="n">
        <x:f>N9-J9</x:f>
        <x:v>0</x:v>
      </x:c>
      <x:c r="P9" s="2" t="n">
        <x:f>L9+I9</x:f>
        <x:v>60</x:v>
      </x:c>
      <x:c r="Q9" s="8" t="n">
        <x:f>P9*E9</x:f>
        <x:v>480</x:v>
      </x:c>
      <x:c r="R9" s="8" t="n">
        <x:f>I9*E9</x:f>
        <x:v>0</x:v>
      </x:c>
      <x:c r="S9" s="8" t="n">
        <x:f>O9*E9</x:f>
        <x:v>0</x:v>
      </x:c>
      <x:c r="T9" s="2" t="str">
        <x:f>IF(A9&lt;DATE(2025,12,1),"",IF(D9="Closed",0,ROUND(AVERAGEIFS('Daily inputs'!$F$2:$F$367,'Daily inputs'!$B$2:$B$367,B9,'Daily inputs'!$C$2:$C$367,C9,'Daily inputs'!$D$2:$D$367,"Training"),0)))</x:f>
      </x:c>
      <x:c r="U9" s="2" t="str">
        <x:f>IF(A9&lt;DATE(2025,12,1),"",ROUND(T9*IF(D9="Christmas",Notes!$B$9,Notes!$B$8),0))</x:f>
      </x:c>
      <x:c r="V9" s="2" t="str">
        <x:f>IF(A9&lt;DATE(2025,12,1),"",ABS(T9-F9))</x:f>
      </x:c>
      <x:c r="W9" s="2" t="str">
        <x:f>IF(A9&lt;DATE(2025,12,1),"",ABS(U9-F9))</x:f>
      </x:c>
      <x:c r="X9" s="2" t="str">
        <x:f>IF(A9&lt;DATE(2025,12,1),"",T9-F9)</x:f>
      </x:c>
      <x:c r="Y9" s="2" t="str">
        <x:f>IF(A9&lt;DATE(2025,12,1),"",U9-F9)</x:f>
      </x:c>
      <x:c r="Z9" s="2" t="n">
        <x:f>IF(N9&gt;0,1,0)</x:f>
        <x:v>0</x:v>
      </x:c>
    </x:row>
    <x:row r="10" ht="21" customHeight="1">
      <x:c r="A10" s="6" t="n">
        <x:f>'Daily inputs'!A10</x:f>
        <x:v>45963</x:v>
      </x:c>
      <x:c r="B10" s="2" t="str">
        <x:f>'Daily inputs'!B10</x:f>
        <x:v>I03</x:v>
      </x:c>
      <x:c r="C10" s="2" t="n">
        <x:f>'Daily inputs'!C10</x:f>
        <x:v>7</x:v>
      </x:c>
      <x:c r="D10" s="2" t="str">
        <x:f>'Daily inputs'!D10</x:f>
        <x:v>Training</x:v>
      </x:c>
      <x:c r="E10" s="7" t="n">
        <x:f>'Daily inputs'!E10</x:f>
        <x:v>7.5</x:v>
      </x:c>
      <x:c r="F10" s="2" t="n">
        <x:f>'Daily inputs'!F10</x:f>
        <x:v>39</x:v>
      </x:c>
      <x:c r="G10" s="2" t="n">
        <x:f>'Daily inputs'!G10</x:f>
        <x:v>6</x:v>
      </x:c>
      <x:c r="H10" s="2" t="n">
        <x:f>'Daily inputs'!H10</x:f>
        <x:v>39</x:v>
      </x:c>
      <x:c r="I10" s="2" t="n">
        <x:f>'Daily inputs'!I10</x:f>
        <x:v>0</x:v>
      </x:c>
      <x:c r="J10" s="2" t="n">
        <x:f>'Daily inputs'!J10</x:f>
        <x:v>0</x:v>
      </x:c>
      <x:c r="K10" s="2" t="n">
        <x:f>'Daily inputs'!K10</x:f>
        <x:v>0</x:v>
      </x:c>
      <x:c r="L10" s="2" t="n">
        <x:f>MIN(F10,G10+H10-I10)</x:f>
        <x:v>39</x:v>
      </x:c>
      <x:c r="M10" s="2" t="n">
        <x:f>G10+H10-L10-I10</x:f>
        <x:v>6</x:v>
      </x:c>
      <x:c r="N10" s="2" t="n">
        <x:f>F10-L10</x:f>
        <x:v>0</x:v>
      </x:c>
      <x:c r="O10" s="2" t="n">
        <x:f>N10-J10</x:f>
        <x:v>0</x:v>
      </x:c>
      <x:c r="P10" s="2" t="n">
        <x:f>L10+I10</x:f>
        <x:v>39</x:v>
      </x:c>
      <x:c r="Q10" s="8" t="n">
        <x:f>P10*E10</x:f>
        <x:v>292.5</x:v>
      </x:c>
      <x:c r="R10" s="8" t="n">
        <x:f>I10*E10</x:f>
        <x:v>0</x:v>
      </x:c>
      <x:c r="S10" s="8" t="n">
        <x:f>O10*E10</x:f>
        <x:v>0</x:v>
      </x:c>
      <x:c r="T10" s="2" t="str">
        <x:f>IF(A10&lt;DATE(2025,12,1),"",IF(D10="Closed",0,ROUND(AVERAGEIFS('Daily inputs'!$F$2:$F$367,'Daily inputs'!$B$2:$B$367,B10,'Daily inputs'!$C$2:$C$367,C10,'Daily inputs'!$D$2:$D$367,"Training"),0)))</x:f>
      </x:c>
      <x:c r="U10" s="2" t="str">
        <x:f>IF(A10&lt;DATE(2025,12,1),"",ROUND(T10*IF(D10="Christmas",Notes!$B$9,Notes!$B$8),0))</x:f>
      </x:c>
      <x:c r="V10" s="2" t="str">
        <x:f>IF(A10&lt;DATE(2025,12,1),"",ABS(T10-F10))</x:f>
      </x:c>
      <x:c r="W10" s="2" t="str">
        <x:f>IF(A10&lt;DATE(2025,12,1),"",ABS(U10-F10))</x:f>
      </x:c>
      <x:c r="X10" s="2" t="str">
        <x:f>IF(A10&lt;DATE(2025,12,1),"",T10-F10)</x:f>
      </x:c>
      <x:c r="Y10" s="2" t="str">
        <x:f>IF(A10&lt;DATE(2025,12,1),"",U10-F10)</x:f>
      </x:c>
      <x:c r="Z10" s="2" t="n">
        <x:f>IF(N10&gt;0,1,0)</x:f>
        <x:v>0</x:v>
      </x:c>
    </x:row>
    <x:row r="11" ht="21" customHeight="1">
      <x:c r="A11" s="6" t="n">
        <x:f>'Daily inputs'!A11</x:f>
        <x:v>45963</x:v>
      </x:c>
      <x:c r="B11" s="2" t="str">
        <x:f>'Daily inputs'!B11</x:f>
        <x:v>I04</x:v>
      </x:c>
      <x:c r="C11" s="2" t="n">
        <x:f>'Daily inputs'!C11</x:f>
        <x:v>7</x:v>
      </x:c>
      <x:c r="D11" s="2" t="str">
        <x:f>'Daily inputs'!D11</x:f>
        <x:v>Training</x:v>
      </x:c>
      <x:c r="E11" s="7" t="n">
        <x:f>'Daily inputs'!E11</x:f>
        <x:v>9</x:v>
      </x:c>
      <x:c r="F11" s="2" t="n">
        <x:f>'Daily inputs'!F11</x:f>
        <x:v>46</x:v>
      </x:c>
      <x:c r="G11" s="2" t="n">
        <x:f>'Daily inputs'!G11</x:f>
        <x:v>8</x:v>
      </x:c>
      <x:c r="H11" s="2" t="n">
        <x:f>'Daily inputs'!H11</x:f>
        <x:v>45</x:v>
      </x:c>
      <x:c r="I11" s="2" t="n">
        <x:f>'Daily inputs'!I11</x:f>
        <x:v>0</x:v>
      </x:c>
      <x:c r="J11" s="2" t="n">
        <x:f>'Daily inputs'!J11</x:f>
        <x:v>0</x:v>
      </x:c>
      <x:c r="K11" s="2" t="n">
        <x:f>'Daily inputs'!K11</x:f>
        <x:v>0</x:v>
      </x:c>
      <x:c r="L11" s="2" t="n">
        <x:f>MIN(F11,G11+H11-I11)</x:f>
        <x:v>46</x:v>
      </x:c>
      <x:c r="M11" s="2" t="n">
        <x:f>G11+H11-L11-I11</x:f>
        <x:v>7</x:v>
      </x:c>
      <x:c r="N11" s="2" t="n">
        <x:f>F11-L11</x:f>
        <x:v>0</x:v>
      </x:c>
      <x:c r="O11" s="2" t="n">
        <x:f>N11-J11</x:f>
        <x:v>0</x:v>
      </x:c>
      <x:c r="P11" s="2" t="n">
        <x:f>L11+I11</x:f>
        <x:v>46</x:v>
      </x:c>
      <x:c r="Q11" s="8" t="n">
        <x:f>P11*E11</x:f>
        <x:v>414</x:v>
      </x:c>
      <x:c r="R11" s="8" t="n">
        <x:f>I11*E11</x:f>
        <x:v>0</x:v>
      </x:c>
      <x:c r="S11" s="8" t="n">
        <x:f>O11*E11</x:f>
        <x:v>0</x:v>
      </x:c>
      <x:c r="T11" s="2" t="str">
        <x:f>IF(A11&lt;DATE(2025,12,1),"",IF(D11="Closed",0,ROUND(AVERAGEIFS('Daily inputs'!$F$2:$F$367,'Daily inputs'!$B$2:$B$367,B11,'Daily inputs'!$C$2:$C$367,C11,'Daily inputs'!$D$2:$D$367,"Training"),0)))</x:f>
      </x:c>
      <x:c r="U11" s="2" t="str">
        <x:f>IF(A11&lt;DATE(2025,12,1),"",ROUND(T11*IF(D11="Christmas",Notes!$B$9,Notes!$B$8),0))</x:f>
      </x:c>
      <x:c r="V11" s="2" t="str">
        <x:f>IF(A11&lt;DATE(2025,12,1),"",ABS(T11-F11))</x:f>
      </x:c>
      <x:c r="W11" s="2" t="str">
        <x:f>IF(A11&lt;DATE(2025,12,1),"",ABS(U11-F11))</x:f>
      </x:c>
      <x:c r="X11" s="2" t="str">
        <x:f>IF(A11&lt;DATE(2025,12,1),"",T11-F11)</x:f>
      </x:c>
      <x:c r="Y11" s="2" t="str">
        <x:f>IF(A11&lt;DATE(2025,12,1),"",U11-F11)</x:f>
      </x:c>
      <x:c r="Z11" s="2" t="n">
        <x:f>IF(N11&gt;0,1,0)</x:f>
        <x:v>0</x:v>
      </x:c>
    </x:row>
    <x:row r="12" ht="21" customHeight="1">
      <x:c r="A12" s="6" t="n">
        <x:f>'Daily inputs'!A12</x:f>
        <x:v>45963</x:v>
      </x:c>
      <x:c r="B12" s="2" t="str">
        <x:f>'Daily inputs'!B12</x:f>
        <x:v>I05</x:v>
      </x:c>
      <x:c r="C12" s="2" t="n">
        <x:f>'Daily inputs'!C12</x:f>
        <x:v>7</x:v>
      </x:c>
      <x:c r="D12" s="2" t="str">
        <x:f>'Daily inputs'!D12</x:f>
        <x:v>Training</x:v>
      </x:c>
      <x:c r="E12" s="7" t="n">
        <x:f>'Daily inputs'!E12</x:f>
        <x:v>3.5</x:v>
      </x:c>
      <x:c r="F12" s="2" t="n">
        <x:f>'Daily inputs'!F12</x:f>
        <x:v>86</x:v>
      </x:c>
      <x:c r="G12" s="2" t="n">
        <x:f>'Daily inputs'!G12</x:f>
        <x:v>17</x:v>
      </x:c>
      <x:c r="H12" s="2" t="n">
        <x:f>'Daily inputs'!H12</x:f>
        <x:v>82</x:v>
      </x:c>
      <x:c r="I12" s="2" t="n">
        <x:f>'Daily inputs'!I12</x:f>
        <x:v>0</x:v>
      </x:c>
      <x:c r="J12" s="2" t="n">
        <x:f>'Daily inputs'!J12</x:f>
        <x:v>0</x:v>
      </x:c>
      <x:c r="K12" s="2" t="n">
        <x:f>'Daily inputs'!K12</x:f>
        <x:v>0</x:v>
      </x:c>
      <x:c r="L12" s="2" t="n">
        <x:f>MIN(F12,G12+H12-I12)</x:f>
        <x:v>86</x:v>
      </x:c>
      <x:c r="M12" s="2" t="n">
        <x:f>G12+H12-L12-I12</x:f>
        <x:v>13</x:v>
      </x:c>
      <x:c r="N12" s="2" t="n">
        <x:f>F12-L12</x:f>
        <x:v>0</x:v>
      </x:c>
      <x:c r="O12" s="2" t="n">
        <x:f>N12-J12</x:f>
        <x:v>0</x:v>
      </x:c>
      <x:c r="P12" s="2" t="n">
        <x:f>L12+I12</x:f>
        <x:v>86</x:v>
      </x:c>
      <x:c r="Q12" s="8" t="n">
        <x:f>P12*E12</x:f>
        <x:v>301</x:v>
      </x:c>
      <x:c r="R12" s="8" t="n">
        <x:f>I12*E12</x:f>
        <x:v>0</x:v>
      </x:c>
      <x:c r="S12" s="8" t="n">
        <x:f>O12*E12</x:f>
        <x:v>0</x:v>
      </x:c>
      <x:c r="T12" s="2" t="str">
        <x:f>IF(A12&lt;DATE(2025,12,1),"",IF(D12="Closed",0,ROUND(AVERAGEIFS('Daily inputs'!$F$2:$F$367,'Daily inputs'!$B$2:$B$367,B12,'Daily inputs'!$C$2:$C$367,C12,'Daily inputs'!$D$2:$D$367,"Training"),0)))</x:f>
      </x:c>
      <x:c r="U12" s="2" t="str">
        <x:f>IF(A12&lt;DATE(2025,12,1),"",ROUND(T12*IF(D12="Christmas",Notes!$B$9,Notes!$B$8),0))</x:f>
      </x:c>
      <x:c r="V12" s="2" t="str">
        <x:f>IF(A12&lt;DATE(2025,12,1),"",ABS(T12-F12))</x:f>
      </x:c>
      <x:c r="W12" s="2" t="str">
        <x:f>IF(A12&lt;DATE(2025,12,1),"",ABS(U12-F12))</x:f>
      </x:c>
      <x:c r="X12" s="2" t="str">
        <x:f>IF(A12&lt;DATE(2025,12,1),"",T12-F12)</x:f>
      </x:c>
      <x:c r="Y12" s="2" t="str">
        <x:f>IF(A12&lt;DATE(2025,12,1),"",U12-F12)</x:f>
      </x:c>
      <x:c r="Z12" s="2" t="n">
        <x:f>IF(N12&gt;0,1,0)</x:f>
        <x:v>0</x:v>
      </x:c>
    </x:row>
    <x:row r="13" ht="21" customHeight="1">
      <x:c r="A13" s="6" t="n">
        <x:f>'Daily inputs'!A13</x:f>
        <x:v>45963</x:v>
      </x:c>
      <x:c r="B13" s="2" t="str">
        <x:f>'Daily inputs'!B13</x:f>
        <x:v>I06</x:v>
      </x:c>
      <x:c r="C13" s="2" t="n">
        <x:f>'Daily inputs'!C13</x:f>
        <x:v>7</x:v>
      </x:c>
      <x:c r="D13" s="2" t="str">
        <x:f>'Daily inputs'!D13</x:f>
        <x:v>Training</x:v>
      </x:c>
      <x:c r="E13" s="7" t="n">
        <x:f>'Daily inputs'!E13</x:f>
        <x:v>3</x:v>
      </x:c>
      <x:c r="F13" s="2" t="n">
        <x:f>'Daily inputs'!F13</x:f>
        <x:v>34</x:v>
      </x:c>
      <x:c r="G13" s="2" t="n">
        <x:f>'Daily inputs'!G13</x:f>
        <x:v>6</x:v>
      </x:c>
      <x:c r="H13" s="2" t="n">
        <x:f>'Daily inputs'!H13</x:f>
        <x:v>33</x:v>
      </x:c>
      <x:c r="I13" s="2" t="n">
        <x:f>'Daily inputs'!I13</x:f>
        <x:v>0</x:v>
      </x:c>
      <x:c r="J13" s="2" t="n">
        <x:f>'Daily inputs'!J13</x:f>
        <x:v>0</x:v>
      </x:c>
      <x:c r="K13" s="2" t="n">
        <x:f>'Daily inputs'!K13</x:f>
        <x:v>0</x:v>
      </x:c>
      <x:c r="L13" s="2" t="n">
        <x:f>MIN(F13,G13+H13-I13)</x:f>
        <x:v>34</x:v>
      </x:c>
      <x:c r="M13" s="2" t="n">
        <x:f>G13+H13-L13-I13</x:f>
        <x:v>5</x:v>
      </x:c>
      <x:c r="N13" s="2" t="n">
        <x:f>F13-L13</x:f>
        <x:v>0</x:v>
      </x:c>
      <x:c r="O13" s="2" t="n">
        <x:f>N13-J13</x:f>
        <x:v>0</x:v>
      </x:c>
      <x:c r="P13" s="2" t="n">
        <x:f>L13+I13</x:f>
        <x:v>34</x:v>
      </x:c>
      <x:c r="Q13" s="8" t="n">
        <x:f>P13*E13</x:f>
        <x:v>102</x:v>
      </x:c>
      <x:c r="R13" s="8" t="n">
        <x:f>I13*E13</x:f>
        <x:v>0</x:v>
      </x:c>
      <x:c r="S13" s="8" t="n">
        <x:f>O13*E13</x:f>
        <x:v>0</x:v>
      </x:c>
      <x:c r="T13" s="2" t="str">
        <x:f>IF(A13&lt;DATE(2025,12,1),"",IF(D13="Closed",0,ROUND(AVERAGEIFS('Daily inputs'!$F$2:$F$367,'Daily inputs'!$B$2:$B$367,B13,'Daily inputs'!$C$2:$C$367,C13,'Daily inputs'!$D$2:$D$367,"Training"),0)))</x:f>
      </x:c>
      <x:c r="U13" s="2" t="str">
        <x:f>IF(A13&lt;DATE(2025,12,1),"",ROUND(T13*IF(D13="Christmas",Notes!$B$9,Notes!$B$8),0))</x:f>
      </x:c>
      <x:c r="V13" s="2" t="str">
        <x:f>IF(A13&lt;DATE(2025,12,1),"",ABS(T13-F13))</x:f>
      </x:c>
      <x:c r="W13" s="2" t="str">
        <x:f>IF(A13&lt;DATE(2025,12,1),"",ABS(U13-F13))</x:f>
      </x:c>
      <x:c r="X13" s="2" t="str">
        <x:f>IF(A13&lt;DATE(2025,12,1),"",T13-F13)</x:f>
      </x:c>
      <x:c r="Y13" s="2" t="str">
        <x:f>IF(A13&lt;DATE(2025,12,1),"",U13-F13)</x:f>
      </x:c>
      <x:c r="Z13" s="2" t="n">
        <x:f>IF(N13&gt;0,1,0)</x:f>
        <x:v>0</x:v>
      </x:c>
    </x:row>
    <x:row r="14" ht="21" customHeight="1">
      <x:c r="A14" s="6" t="n">
        <x:f>'Daily inputs'!A14</x:f>
        <x:v>45964</x:v>
      </x:c>
      <x:c r="B14" s="2" t="str">
        <x:f>'Daily inputs'!B14</x:f>
        <x:v>I01</x:v>
      </x:c>
      <x:c r="C14" s="2" t="n">
        <x:f>'Daily inputs'!C14</x:f>
        <x:v>1</x:v>
      </x:c>
      <x:c r="D14" s="2" t="str">
        <x:f>'Daily inputs'!D14</x:f>
        <x:v>Training</x:v>
      </x:c>
      <x:c r="E14" s="7" t="n">
        <x:f>'Daily inputs'!E14</x:f>
        <x:v>8.5</x:v>
      </x:c>
      <x:c r="F14" s="2" t="n">
        <x:f>'Daily inputs'!F14</x:f>
        <x:v>58</x:v>
      </x:c>
      <x:c r="G14" s="2" t="n">
        <x:f>'Daily inputs'!G14</x:f>
        <x:v>11</x:v>
      </x:c>
      <x:c r="H14" s="2" t="n">
        <x:f>'Daily inputs'!H14</x:f>
        <x:v>56</x:v>
      </x:c>
      <x:c r="I14" s="2" t="n">
        <x:f>'Daily inputs'!I14</x:f>
        <x:v>0</x:v>
      </x:c>
      <x:c r="J14" s="2" t="n">
        <x:f>'Daily inputs'!J14</x:f>
        <x:v>0</x:v>
      </x:c>
      <x:c r="K14" s="2" t="n">
        <x:f>'Daily inputs'!K14</x:f>
        <x:v>0</x:v>
      </x:c>
      <x:c r="L14" s="2" t="n">
        <x:f>MIN(F14,G14+H14-I14)</x:f>
        <x:v>58</x:v>
      </x:c>
      <x:c r="M14" s="2" t="n">
        <x:f>G14+H14-L14-I14</x:f>
        <x:v>9</x:v>
      </x:c>
      <x:c r="N14" s="2" t="n">
        <x:f>F14-L14</x:f>
        <x:v>0</x:v>
      </x:c>
      <x:c r="O14" s="2" t="n">
        <x:f>N14-J14</x:f>
        <x:v>0</x:v>
      </x:c>
      <x:c r="P14" s="2" t="n">
        <x:f>L14+I14</x:f>
        <x:v>58</x:v>
      </x:c>
      <x:c r="Q14" s="8" t="n">
        <x:f>P14*E14</x:f>
        <x:v>493</x:v>
      </x:c>
      <x:c r="R14" s="8" t="n">
        <x:f>I14*E14</x:f>
        <x:v>0</x:v>
      </x:c>
      <x:c r="S14" s="8" t="n">
        <x:f>O14*E14</x:f>
        <x:v>0</x:v>
      </x:c>
      <x:c r="T14" s="2" t="str">
        <x:f>IF(A14&lt;DATE(2025,12,1),"",IF(D14="Closed",0,ROUND(AVERAGEIFS('Daily inputs'!$F$2:$F$367,'Daily inputs'!$B$2:$B$367,B14,'Daily inputs'!$C$2:$C$367,C14,'Daily inputs'!$D$2:$D$367,"Training"),0)))</x:f>
      </x:c>
      <x:c r="U14" s="2" t="str">
        <x:f>IF(A14&lt;DATE(2025,12,1),"",ROUND(T14*IF(D14="Christmas",Notes!$B$9,Notes!$B$8),0))</x:f>
      </x:c>
      <x:c r="V14" s="2" t="str">
        <x:f>IF(A14&lt;DATE(2025,12,1),"",ABS(T14-F14))</x:f>
      </x:c>
      <x:c r="W14" s="2" t="str">
        <x:f>IF(A14&lt;DATE(2025,12,1),"",ABS(U14-F14))</x:f>
      </x:c>
      <x:c r="X14" s="2" t="str">
        <x:f>IF(A14&lt;DATE(2025,12,1),"",T14-F14)</x:f>
      </x:c>
      <x:c r="Y14" s="2" t="str">
        <x:f>IF(A14&lt;DATE(2025,12,1),"",U14-F14)</x:f>
      </x:c>
      <x:c r="Z14" s="2" t="n">
        <x:f>IF(N14&gt;0,1,0)</x:f>
        <x:v>0</x:v>
      </x:c>
    </x:row>
    <x:row r="15" ht="21" customHeight="1">
      <x:c r="A15" s="6" t="n">
        <x:f>'Daily inputs'!A15</x:f>
        <x:v>45964</x:v>
      </x:c>
      <x:c r="B15" s="2" t="str">
        <x:f>'Daily inputs'!B15</x:f>
        <x:v>I02</x:v>
      </x:c>
      <x:c r="C15" s="2" t="n">
        <x:f>'Daily inputs'!C15</x:f>
        <x:v>1</x:v>
      </x:c>
      <x:c r="D15" s="2" t="str">
        <x:f>'Daily inputs'!D15</x:f>
        <x:v>Training</x:v>
      </x:c>
      <x:c r="E15" s="7" t="n">
        <x:f>'Daily inputs'!E15</x:f>
        <x:v>8</x:v>
      </x:c>
      <x:c r="F15" s="2" t="n">
        <x:f>'Daily inputs'!F15</x:f>
        <x:v>50</x:v>
      </x:c>
      <x:c r="G15" s="2" t="n">
        <x:f>'Daily inputs'!G15</x:f>
        <x:v>9</x:v>
      </x:c>
      <x:c r="H15" s="2" t="n">
        <x:f>'Daily inputs'!H15</x:f>
        <x:v>48</x:v>
      </x:c>
      <x:c r="I15" s="2" t="n">
        <x:f>'Daily inputs'!I15</x:f>
        <x:v>0</x:v>
      </x:c>
      <x:c r="J15" s="2" t="n">
        <x:f>'Daily inputs'!J15</x:f>
        <x:v>0</x:v>
      </x:c>
      <x:c r="K15" s="2" t="n">
        <x:f>'Daily inputs'!K15</x:f>
        <x:v>0</x:v>
      </x:c>
      <x:c r="L15" s="2" t="n">
        <x:f>MIN(F15,G15+H15-I15)</x:f>
        <x:v>50</x:v>
      </x:c>
      <x:c r="M15" s="2" t="n">
        <x:f>G15+H15-L15-I15</x:f>
        <x:v>7</x:v>
      </x:c>
      <x:c r="N15" s="2" t="n">
        <x:f>F15-L15</x:f>
        <x:v>0</x:v>
      </x:c>
      <x:c r="O15" s="2" t="n">
        <x:f>N15-J15</x:f>
        <x:v>0</x:v>
      </x:c>
      <x:c r="P15" s="2" t="n">
        <x:f>L15+I15</x:f>
        <x:v>50</x:v>
      </x:c>
      <x:c r="Q15" s="8" t="n">
        <x:f>P15*E15</x:f>
        <x:v>400</x:v>
      </x:c>
      <x:c r="R15" s="8" t="n">
        <x:f>I15*E15</x:f>
        <x:v>0</x:v>
      </x:c>
      <x:c r="S15" s="8" t="n">
        <x:f>O15*E15</x:f>
        <x:v>0</x:v>
      </x:c>
      <x:c r="T15" s="2" t="str">
        <x:f>IF(A15&lt;DATE(2025,12,1),"",IF(D15="Closed",0,ROUND(AVERAGEIFS('Daily inputs'!$F$2:$F$367,'Daily inputs'!$B$2:$B$367,B15,'Daily inputs'!$C$2:$C$367,C15,'Daily inputs'!$D$2:$D$367,"Training"),0)))</x:f>
      </x:c>
      <x:c r="U15" s="2" t="str">
        <x:f>IF(A15&lt;DATE(2025,12,1),"",ROUND(T15*IF(D15="Christmas",Notes!$B$9,Notes!$B$8),0))</x:f>
      </x:c>
      <x:c r="V15" s="2" t="str">
        <x:f>IF(A15&lt;DATE(2025,12,1),"",ABS(T15-F15))</x:f>
      </x:c>
      <x:c r="W15" s="2" t="str">
        <x:f>IF(A15&lt;DATE(2025,12,1),"",ABS(U15-F15))</x:f>
      </x:c>
      <x:c r="X15" s="2" t="str">
        <x:f>IF(A15&lt;DATE(2025,12,1),"",T15-F15)</x:f>
      </x:c>
      <x:c r="Y15" s="2" t="str">
        <x:f>IF(A15&lt;DATE(2025,12,1),"",U15-F15)</x:f>
      </x:c>
      <x:c r="Z15" s="2" t="n">
        <x:f>IF(N15&gt;0,1,0)</x:f>
        <x:v>0</x:v>
      </x:c>
    </x:row>
    <x:row r="16" ht="21" customHeight="1">
      <x:c r="A16" s="6" t="n">
        <x:f>'Daily inputs'!A16</x:f>
        <x:v>45964</x:v>
      </x:c>
      <x:c r="B16" s="2" t="str">
        <x:f>'Daily inputs'!B16</x:f>
        <x:v>I03</x:v>
      </x:c>
      <x:c r="C16" s="2" t="n">
        <x:f>'Daily inputs'!C16</x:f>
        <x:v>1</x:v>
      </x:c>
      <x:c r="D16" s="2" t="str">
        <x:f>'Daily inputs'!D16</x:f>
        <x:v>Training</x:v>
      </x:c>
      <x:c r="E16" s="7" t="n">
        <x:f>'Daily inputs'!E16</x:f>
        <x:v>7.5</x:v>
      </x:c>
      <x:c r="F16" s="2" t="n">
        <x:f>'Daily inputs'!F16</x:f>
        <x:v>30</x:v>
      </x:c>
      <x:c r="G16" s="2" t="n">
        <x:f>'Daily inputs'!G16</x:f>
        <x:v>6</x:v>
      </x:c>
      <x:c r="H16" s="2" t="n">
        <x:f>'Daily inputs'!H16</x:f>
        <x:v>29</x:v>
      </x:c>
      <x:c r="I16" s="2" t="n">
        <x:f>'Daily inputs'!I16</x:f>
        <x:v>0</x:v>
      </x:c>
      <x:c r="J16" s="2" t="n">
        <x:f>'Daily inputs'!J16</x:f>
        <x:v>0</x:v>
      </x:c>
      <x:c r="K16" s="2" t="n">
        <x:f>'Daily inputs'!K16</x:f>
        <x:v>0</x:v>
      </x:c>
      <x:c r="L16" s="2" t="n">
        <x:f>MIN(F16,G16+H16-I16)</x:f>
        <x:v>30</x:v>
      </x:c>
      <x:c r="M16" s="2" t="n">
        <x:f>G16+H16-L16-I16</x:f>
        <x:v>5</x:v>
      </x:c>
      <x:c r="N16" s="2" t="n">
        <x:f>F16-L16</x:f>
        <x:v>0</x:v>
      </x:c>
      <x:c r="O16" s="2" t="n">
        <x:f>N16-J16</x:f>
        <x:v>0</x:v>
      </x:c>
      <x:c r="P16" s="2" t="n">
        <x:f>L16+I16</x:f>
        <x:v>30</x:v>
      </x:c>
      <x:c r="Q16" s="8" t="n">
        <x:f>P16*E16</x:f>
        <x:v>225</x:v>
      </x:c>
      <x:c r="R16" s="8" t="n">
        <x:f>I16*E16</x:f>
        <x:v>0</x:v>
      </x:c>
      <x:c r="S16" s="8" t="n">
        <x:f>O16*E16</x:f>
        <x:v>0</x:v>
      </x:c>
      <x:c r="T16" s="2" t="str">
        <x:f>IF(A16&lt;DATE(2025,12,1),"",IF(D16="Closed",0,ROUND(AVERAGEIFS('Daily inputs'!$F$2:$F$367,'Daily inputs'!$B$2:$B$367,B16,'Daily inputs'!$C$2:$C$367,C16,'Daily inputs'!$D$2:$D$367,"Training"),0)))</x:f>
      </x:c>
      <x:c r="U16" s="2" t="str">
        <x:f>IF(A16&lt;DATE(2025,12,1),"",ROUND(T16*IF(D16="Christmas",Notes!$B$9,Notes!$B$8),0))</x:f>
      </x:c>
      <x:c r="V16" s="2" t="str">
        <x:f>IF(A16&lt;DATE(2025,12,1),"",ABS(T16-F16))</x:f>
      </x:c>
      <x:c r="W16" s="2" t="str">
        <x:f>IF(A16&lt;DATE(2025,12,1),"",ABS(U16-F16))</x:f>
      </x:c>
      <x:c r="X16" s="2" t="str">
        <x:f>IF(A16&lt;DATE(2025,12,1),"",T16-F16)</x:f>
      </x:c>
      <x:c r="Y16" s="2" t="str">
        <x:f>IF(A16&lt;DATE(2025,12,1),"",U16-F16)</x:f>
      </x:c>
      <x:c r="Z16" s="2" t="n">
        <x:f>IF(N16&gt;0,1,0)</x:f>
        <x:v>0</x:v>
      </x:c>
    </x:row>
    <x:row r="17" ht="21" customHeight="1">
      <x:c r="A17" s="6" t="n">
        <x:f>'Daily inputs'!A17</x:f>
        <x:v>45964</x:v>
      </x:c>
      <x:c r="B17" s="2" t="str">
        <x:f>'Daily inputs'!B17</x:f>
        <x:v>I04</x:v>
      </x:c>
      <x:c r="C17" s="2" t="n">
        <x:f>'Daily inputs'!C17</x:f>
        <x:v>1</x:v>
      </x:c>
      <x:c r="D17" s="2" t="str">
        <x:f>'Daily inputs'!D17</x:f>
        <x:v>Training</x:v>
      </x:c>
      <x:c r="E17" s="7" t="n">
        <x:f>'Daily inputs'!E17</x:f>
        <x:v>9</x:v>
      </x:c>
      <x:c r="F17" s="2" t="n">
        <x:f>'Daily inputs'!F17</x:f>
        <x:v>32</x:v>
      </x:c>
      <x:c r="G17" s="2" t="n">
        <x:f>'Daily inputs'!G17</x:f>
        <x:v>7</x:v>
      </x:c>
      <x:c r="H17" s="2" t="n">
        <x:f>'Daily inputs'!H17</x:f>
        <x:v>30</x:v>
      </x:c>
      <x:c r="I17" s="2" t="n">
        <x:f>'Daily inputs'!I17</x:f>
        <x:v>0</x:v>
      </x:c>
      <x:c r="J17" s="2" t="n">
        <x:f>'Daily inputs'!J17</x:f>
        <x:v>0</x:v>
      </x:c>
      <x:c r="K17" s="2" t="n">
        <x:f>'Daily inputs'!K17</x:f>
        <x:v>0</x:v>
      </x:c>
      <x:c r="L17" s="2" t="n">
        <x:f>MIN(F17,G17+H17-I17)</x:f>
        <x:v>32</x:v>
      </x:c>
      <x:c r="M17" s="2" t="n">
        <x:f>G17+H17-L17-I17</x:f>
        <x:v>5</x:v>
      </x:c>
      <x:c r="N17" s="2" t="n">
        <x:f>F17-L17</x:f>
        <x:v>0</x:v>
      </x:c>
      <x:c r="O17" s="2" t="n">
        <x:f>N17-J17</x:f>
        <x:v>0</x:v>
      </x:c>
      <x:c r="P17" s="2" t="n">
        <x:f>L17+I17</x:f>
        <x:v>32</x:v>
      </x:c>
      <x:c r="Q17" s="8" t="n">
        <x:f>P17*E17</x:f>
        <x:v>288</x:v>
      </x:c>
      <x:c r="R17" s="8" t="n">
        <x:f>I17*E17</x:f>
        <x:v>0</x:v>
      </x:c>
      <x:c r="S17" s="8" t="n">
        <x:f>O17*E17</x:f>
        <x:v>0</x:v>
      </x:c>
      <x:c r="T17" s="2" t="str">
        <x:f>IF(A17&lt;DATE(2025,12,1),"",IF(D17="Closed",0,ROUND(AVERAGEIFS('Daily inputs'!$F$2:$F$367,'Daily inputs'!$B$2:$B$367,B17,'Daily inputs'!$C$2:$C$367,C17,'Daily inputs'!$D$2:$D$367,"Training"),0)))</x:f>
      </x:c>
      <x:c r="U17" s="2" t="str">
        <x:f>IF(A17&lt;DATE(2025,12,1),"",ROUND(T17*IF(D17="Christmas",Notes!$B$9,Notes!$B$8),0))</x:f>
      </x:c>
      <x:c r="V17" s="2" t="str">
        <x:f>IF(A17&lt;DATE(2025,12,1),"",ABS(T17-F17))</x:f>
      </x:c>
      <x:c r="W17" s="2" t="str">
        <x:f>IF(A17&lt;DATE(2025,12,1),"",ABS(U17-F17))</x:f>
      </x:c>
      <x:c r="X17" s="2" t="str">
        <x:f>IF(A17&lt;DATE(2025,12,1),"",T17-F17)</x:f>
      </x:c>
      <x:c r="Y17" s="2" t="str">
        <x:f>IF(A17&lt;DATE(2025,12,1),"",U17-F17)</x:f>
      </x:c>
      <x:c r="Z17" s="2" t="n">
        <x:f>IF(N17&gt;0,1,0)</x:f>
        <x:v>0</x:v>
      </x:c>
    </x:row>
    <x:row r="18" ht="21" customHeight="1">
      <x:c r="A18" s="6" t="n">
        <x:f>'Daily inputs'!A18</x:f>
        <x:v>45964</x:v>
      </x:c>
      <x:c r="B18" s="2" t="str">
        <x:f>'Daily inputs'!B18</x:f>
        <x:v>I05</x:v>
      </x:c>
      <x:c r="C18" s="2" t="n">
        <x:f>'Daily inputs'!C18</x:f>
        <x:v>1</x:v>
      </x:c>
      <x:c r="D18" s="2" t="str">
        <x:f>'Daily inputs'!D18</x:f>
        <x:v>Training</x:v>
      </x:c>
      <x:c r="E18" s="7" t="n">
        <x:f>'Daily inputs'!E18</x:f>
        <x:v>3.5</x:v>
      </x:c>
      <x:c r="F18" s="2" t="n">
        <x:f>'Daily inputs'!F18</x:f>
        <x:v>70</x:v>
      </x:c>
      <x:c r="G18" s="2" t="n">
        <x:f>'Daily inputs'!G18</x:f>
        <x:v>13</x:v>
      </x:c>
      <x:c r="H18" s="2" t="n">
        <x:f>'Daily inputs'!H18</x:f>
        <x:v>68</x:v>
      </x:c>
      <x:c r="I18" s="2" t="n">
        <x:f>'Daily inputs'!I18</x:f>
        <x:v>0</x:v>
      </x:c>
      <x:c r="J18" s="2" t="n">
        <x:f>'Daily inputs'!J18</x:f>
        <x:v>0</x:v>
      </x:c>
      <x:c r="K18" s="2" t="n">
        <x:f>'Daily inputs'!K18</x:f>
        <x:v>0</x:v>
      </x:c>
      <x:c r="L18" s="2" t="n">
        <x:f>MIN(F18,G18+H18-I18)</x:f>
        <x:v>70</x:v>
      </x:c>
      <x:c r="M18" s="2" t="n">
        <x:f>G18+H18-L18-I18</x:f>
        <x:v>11</x:v>
      </x:c>
      <x:c r="N18" s="2" t="n">
        <x:f>F18-L18</x:f>
        <x:v>0</x:v>
      </x:c>
      <x:c r="O18" s="2" t="n">
        <x:f>N18-J18</x:f>
        <x:v>0</x:v>
      </x:c>
      <x:c r="P18" s="2" t="n">
        <x:f>L18+I18</x:f>
        <x:v>70</x:v>
      </x:c>
      <x:c r="Q18" s="8" t="n">
        <x:f>P18*E18</x:f>
        <x:v>245</x:v>
      </x:c>
      <x:c r="R18" s="8" t="n">
        <x:f>I18*E18</x:f>
        <x:v>0</x:v>
      </x:c>
      <x:c r="S18" s="8" t="n">
        <x:f>O18*E18</x:f>
        <x:v>0</x:v>
      </x:c>
      <x:c r="T18" s="2" t="str">
        <x:f>IF(A18&lt;DATE(2025,12,1),"",IF(D18="Closed",0,ROUND(AVERAGEIFS('Daily inputs'!$F$2:$F$367,'Daily inputs'!$B$2:$B$367,B18,'Daily inputs'!$C$2:$C$367,C18,'Daily inputs'!$D$2:$D$367,"Training"),0)))</x:f>
      </x:c>
      <x:c r="U18" s="2" t="str">
        <x:f>IF(A18&lt;DATE(2025,12,1),"",ROUND(T18*IF(D18="Christmas",Notes!$B$9,Notes!$B$8),0))</x:f>
      </x:c>
      <x:c r="V18" s="2" t="str">
        <x:f>IF(A18&lt;DATE(2025,12,1),"",ABS(T18-F18))</x:f>
      </x:c>
      <x:c r="W18" s="2" t="str">
        <x:f>IF(A18&lt;DATE(2025,12,1),"",ABS(U18-F18))</x:f>
      </x:c>
      <x:c r="X18" s="2" t="str">
        <x:f>IF(A18&lt;DATE(2025,12,1),"",T18-F18)</x:f>
      </x:c>
      <x:c r="Y18" s="2" t="str">
        <x:f>IF(A18&lt;DATE(2025,12,1),"",U18-F18)</x:f>
      </x:c>
      <x:c r="Z18" s="2" t="n">
        <x:f>IF(N18&gt;0,1,0)</x:f>
        <x:v>0</x:v>
      </x:c>
    </x:row>
    <x:row r="19" ht="21" customHeight="1">
      <x:c r="A19" s="6" t="n">
        <x:f>'Daily inputs'!A19</x:f>
        <x:v>45964</x:v>
      </x:c>
      <x:c r="B19" s="2" t="str">
        <x:f>'Daily inputs'!B19</x:f>
        <x:v>I06</x:v>
      </x:c>
      <x:c r="C19" s="2" t="n">
        <x:f>'Daily inputs'!C19</x:f>
        <x:v>1</x:v>
      </x:c>
      <x:c r="D19" s="2" t="str">
        <x:f>'Daily inputs'!D19</x:f>
        <x:v>Training</x:v>
      </x:c>
      <x:c r="E19" s="7" t="n">
        <x:f>'Daily inputs'!E19</x:f>
        <x:v>3</x:v>
      </x:c>
      <x:c r="F19" s="2" t="n">
        <x:f>'Daily inputs'!F19</x:f>
        <x:v>26</x:v>
      </x:c>
      <x:c r="G19" s="2" t="n">
        <x:f>'Daily inputs'!G19</x:f>
        <x:v>5</x:v>
      </x:c>
      <x:c r="H19" s="2" t="n">
        <x:f>'Daily inputs'!H19</x:f>
        <x:v>25</x:v>
      </x:c>
      <x:c r="I19" s="2" t="n">
        <x:f>'Daily inputs'!I19</x:f>
        <x:v>0</x:v>
      </x:c>
      <x:c r="J19" s="2" t="n">
        <x:f>'Daily inputs'!J19</x:f>
        <x:v>0</x:v>
      </x:c>
      <x:c r="K19" s="2" t="n">
        <x:f>'Daily inputs'!K19</x:f>
        <x:v>0</x:v>
      </x:c>
      <x:c r="L19" s="2" t="n">
        <x:f>MIN(F19,G19+H19-I19)</x:f>
        <x:v>26</x:v>
      </x:c>
      <x:c r="M19" s="2" t="n">
        <x:f>G19+H19-L19-I19</x:f>
        <x:v>4</x:v>
      </x:c>
      <x:c r="N19" s="2" t="n">
        <x:f>F19-L19</x:f>
        <x:v>0</x:v>
      </x:c>
      <x:c r="O19" s="2" t="n">
        <x:f>N19-J19</x:f>
        <x:v>0</x:v>
      </x:c>
      <x:c r="P19" s="2" t="n">
        <x:f>L19+I19</x:f>
        <x:v>26</x:v>
      </x:c>
      <x:c r="Q19" s="8" t="n">
        <x:f>P19*E19</x:f>
        <x:v>78</x:v>
      </x:c>
      <x:c r="R19" s="8" t="n">
        <x:f>I19*E19</x:f>
        <x:v>0</x:v>
      </x:c>
      <x:c r="S19" s="8" t="n">
        <x:f>O19*E19</x:f>
        <x:v>0</x:v>
      </x:c>
      <x:c r="T19" s="2" t="str">
        <x:f>IF(A19&lt;DATE(2025,12,1),"",IF(D19="Closed",0,ROUND(AVERAGEIFS('Daily inputs'!$F$2:$F$367,'Daily inputs'!$B$2:$B$367,B19,'Daily inputs'!$C$2:$C$367,C19,'Daily inputs'!$D$2:$D$367,"Training"),0)))</x:f>
      </x:c>
      <x:c r="U19" s="2" t="str">
        <x:f>IF(A19&lt;DATE(2025,12,1),"",ROUND(T19*IF(D19="Christmas",Notes!$B$9,Notes!$B$8),0))</x:f>
      </x:c>
      <x:c r="V19" s="2" t="str">
        <x:f>IF(A19&lt;DATE(2025,12,1),"",ABS(T19-F19))</x:f>
      </x:c>
      <x:c r="W19" s="2" t="str">
        <x:f>IF(A19&lt;DATE(2025,12,1),"",ABS(U19-F19))</x:f>
      </x:c>
      <x:c r="X19" s="2" t="str">
        <x:f>IF(A19&lt;DATE(2025,12,1),"",T19-F19)</x:f>
      </x:c>
      <x:c r="Y19" s="2" t="str">
        <x:f>IF(A19&lt;DATE(2025,12,1),"",U19-F19)</x:f>
      </x:c>
      <x:c r="Z19" s="2" t="n">
        <x:f>IF(N19&gt;0,1,0)</x:f>
        <x:v>0</x:v>
      </x:c>
    </x:row>
    <x:row r="20" ht="21" customHeight="1">
      <x:c r="A20" s="6" t="n">
        <x:f>'Daily inputs'!A20</x:f>
        <x:v>45965</x:v>
      </x:c>
      <x:c r="B20" s="2" t="str">
        <x:f>'Daily inputs'!B20</x:f>
        <x:v>I01</x:v>
      </x:c>
      <x:c r="C20" s="2" t="n">
        <x:f>'Daily inputs'!C20</x:f>
        <x:v>2</x:v>
      </x:c>
      <x:c r="D20" s="2" t="str">
        <x:f>'Daily inputs'!D20</x:f>
        <x:v>Training</x:v>
      </x:c>
      <x:c r="E20" s="7" t="n">
        <x:f>'Daily inputs'!E20</x:f>
        <x:v>8.5</x:v>
      </x:c>
      <x:c r="F20" s="2" t="n">
        <x:f>'Daily inputs'!F20</x:f>
        <x:v>65</x:v>
      </x:c>
      <x:c r="G20" s="2" t="n">
        <x:f>'Daily inputs'!G20</x:f>
        <x:v>9</x:v>
      </x:c>
      <x:c r="H20" s="2" t="n">
        <x:f>'Daily inputs'!H20</x:f>
        <x:v>66</x:v>
      </x:c>
      <x:c r="I20" s="2" t="n">
        <x:f>'Daily inputs'!I20</x:f>
        <x:v>0</x:v>
      </x:c>
      <x:c r="J20" s="2" t="n">
        <x:f>'Daily inputs'!J20</x:f>
        <x:v>0</x:v>
      </x:c>
      <x:c r="K20" s="2" t="n">
        <x:f>'Daily inputs'!K20</x:f>
        <x:v>0</x:v>
      </x:c>
      <x:c r="L20" s="2" t="n">
        <x:f>MIN(F20,G20+H20-I20)</x:f>
        <x:v>65</x:v>
      </x:c>
      <x:c r="M20" s="2" t="n">
        <x:f>G20+H20-L20-I20</x:f>
        <x:v>10</x:v>
      </x:c>
      <x:c r="N20" s="2" t="n">
        <x:f>F20-L20</x:f>
        <x:v>0</x:v>
      </x:c>
      <x:c r="O20" s="2" t="n">
        <x:f>N20-J20</x:f>
        <x:v>0</x:v>
      </x:c>
      <x:c r="P20" s="2" t="n">
        <x:f>L20+I20</x:f>
        <x:v>65</x:v>
      </x:c>
      <x:c r="Q20" s="8" t="n">
        <x:f>P20*E20</x:f>
        <x:v>552.5</x:v>
      </x:c>
      <x:c r="R20" s="8" t="n">
        <x:f>I20*E20</x:f>
        <x:v>0</x:v>
      </x:c>
      <x:c r="S20" s="8" t="n">
        <x:f>O20*E20</x:f>
        <x:v>0</x:v>
      </x:c>
      <x:c r="T20" s="2" t="str">
        <x:f>IF(A20&lt;DATE(2025,12,1),"",IF(D20="Closed",0,ROUND(AVERAGEIFS('Daily inputs'!$F$2:$F$367,'Daily inputs'!$B$2:$B$367,B20,'Daily inputs'!$C$2:$C$367,C20,'Daily inputs'!$D$2:$D$367,"Training"),0)))</x:f>
      </x:c>
      <x:c r="U20" s="2" t="str">
        <x:f>IF(A20&lt;DATE(2025,12,1),"",ROUND(T20*IF(D20="Christmas",Notes!$B$9,Notes!$B$8),0))</x:f>
      </x:c>
      <x:c r="V20" s="2" t="str">
        <x:f>IF(A20&lt;DATE(2025,12,1),"",ABS(T20-F20))</x:f>
      </x:c>
      <x:c r="W20" s="2" t="str">
        <x:f>IF(A20&lt;DATE(2025,12,1),"",ABS(U20-F20))</x:f>
      </x:c>
      <x:c r="X20" s="2" t="str">
        <x:f>IF(A20&lt;DATE(2025,12,1),"",T20-F20)</x:f>
      </x:c>
      <x:c r="Y20" s="2" t="str">
        <x:f>IF(A20&lt;DATE(2025,12,1),"",U20-F20)</x:f>
      </x:c>
      <x:c r="Z20" s="2" t="n">
        <x:f>IF(N20&gt;0,1,0)</x:f>
        <x:v>0</x:v>
      </x:c>
    </x:row>
    <x:row r="21" ht="21" customHeight="1">
      <x:c r="A21" s="6" t="n">
        <x:f>'Daily inputs'!A21</x:f>
        <x:v>45965</x:v>
      </x:c>
      <x:c r="B21" s="2" t="str">
        <x:f>'Daily inputs'!B21</x:f>
        <x:v>I02</x:v>
      </x:c>
      <x:c r="C21" s="2" t="n">
        <x:f>'Daily inputs'!C21</x:f>
        <x:v>2</x:v>
      </x:c>
      <x:c r="D21" s="2" t="str">
        <x:f>'Daily inputs'!D21</x:f>
        <x:v>Training</x:v>
      </x:c>
      <x:c r="E21" s="7" t="n">
        <x:f>'Daily inputs'!E21</x:f>
        <x:v>8</x:v>
      </x:c>
      <x:c r="F21" s="2" t="n">
        <x:f>'Daily inputs'!F21</x:f>
        <x:v>50</x:v>
      </x:c>
      <x:c r="G21" s="2" t="n">
        <x:f>'Daily inputs'!G21</x:f>
        <x:v>7</x:v>
      </x:c>
      <x:c r="H21" s="2" t="n">
        <x:f>'Daily inputs'!H21</x:f>
        <x:v>50</x:v>
      </x:c>
      <x:c r="I21" s="2" t="n">
        <x:f>'Daily inputs'!I21</x:f>
        <x:v>0</x:v>
      </x:c>
      <x:c r="J21" s="2" t="n">
        <x:f>'Daily inputs'!J21</x:f>
        <x:v>0</x:v>
      </x:c>
      <x:c r="K21" s="2" t="n">
        <x:f>'Daily inputs'!K21</x:f>
        <x:v>0</x:v>
      </x:c>
      <x:c r="L21" s="2" t="n">
        <x:f>MIN(F21,G21+H21-I21)</x:f>
        <x:v>50</x:v>
      </x:c>
      <x:c r="M21" s="2" t="n">
        <x:f>G21+H21-L21-I21</x:f>
        <x:v>7</x:v>
      </x:c>
      <x:c r="N21" s="2" t="n">
        <x:f>F21-L21</x:f>
        <x:v>0</x:v>
      </x:c>
      <x:c r="O21" s="2" t="n">
        <x:f>N21-J21</x:f>
        <x:v>0</x:v>
      </x:c>
      <x:c r="P21" s="2" t="n">
        <x:f>L21+I21</x:f>
        <x:v>50</x:v>
      </x:c>
      <x:c r="Q21" s="8" t="n">
        <x:f>P21*E21</x:f>
        <x:v>400</x:v>
      </x:c>
      <x:c r="R21" s="8" t="n">
        <x:f>I21*E21</x:f>
        <x:v>0</x:v>
      </x:c>
      <x:c r="S21" s="8" t="n">
        <x:f>O21*E21</x:f>
        <x:v>0</x:v>
      </x:c>
      <x:c r="T21" s="2" t="str">
        <x:f>IF(A21&lt;DATE(2025,12,1),"",IF(D21="Closed",0,ROUND(AVERAGEIFS('Daily inputs'!$F$2:$F$367,'Daily inputs'!$B$2:$B$367,B21,'Daily inputs'!$C$2:$C$367,C21,'Daily inputs'!$D$2:$D$367,"Training"),0)))</x:f>
      </x:c>
      <x:c r="U21" s="2" t="str">
        <x:f>IF(A21&lt;DATE(2025,12,1),"",ROUND(T21*IF(D21="Christmas",Notes!$B$9,Notes!$B$8),0))</x:f>
      </x:c>
      <x:c r="V21" s="2" t="str">
        <x:f>IF(A21&lt;DATE(2025,12,1),"",ABS(T21-F21))</x:f>
      </x:c>
      <x:c r="W21" s="2" t="str">
        <x:f>IF(A21&lt;DATE(2025,12,1),"",ABS(U21-F21))</x:f>
      </x:c>
      <x:c r="X21" s="2" t="str">
        <x:f>IF(A21&lt;DATE(2025,12,1),"",T21-F21)</x:f>
      </x:c>
      <x:c r="Y21" s="2" t="str">
        <x:f>IF(A21&lt;DATE(2025,12,1),"",U21-F21)</x:f>
      </x:c>
      <x:c r="Z21" s="2" t="n">
        <x:f>IF(N21&gt;0,1,0)</x:f>
        <x:v>0</x:v>
      </x:c>
    </x:row>
    <x:row r="22" ht="21" customHeight="1">
      <x:c r="A22" s="6" t="n">
        <x:f>'Daily inputs'!A22</x:f>
        <x:v>45965</x:v>
      </x:c>
      <x:c r="B22" s="2" t="str">
        <x:f>'Daily inputs'!B22</x:f>
        <x:v>I03</x:v>
      </x:c>
      <x:c r="C22" s="2" t="n">
        <x:f>'Daily inputs'!C22</x:f>
        <x:v>2</x:v>
      </x:c>
      <x:c r="D22" s="2" t="str">
        <x:f>'Daily inputs'!D22</x:f>
        <x:v>Training</x:v>
      </x:c>
      <x:c r="E22" s="7" t="n">
        <x:f>'Daily inputs'!E22</x:f>
        <x:v>7.5</x:v>
      </x:c>
      <x:c r="F22" s="2" t="n">
        <x:f>'Daily inputs'!F22</x:f>
        <x:v>32</x:v>
      </x:c>
      <x:c r="G22" s="2" t="n">
        <x:f>'Daily inputs'!G22</x:f>
        <x:v>5</x:v>
      </x:c>
      <x:c r="H22" s="2" t="n">
        <x:f>'Daily inputs'!H22</x:f>
        <x:v>32</x:v>
      </x:c>
      <x:c r="I22" s="2" t="n">
        <x:f>'Daily inputs'!I22</x:f>
        <x:v>0</x:v>
      </x:c>
      <x:c r="J22" s="2" t="n">
        <x:f>'Daily inputs'!J22</x:f>
        <x:v>0</x:v>
      </x:c>
      <x:c r="K22" s="2" t="n">
        <x:f>'Daily inputs'!K22</x:f>
        <x:v>0</x:v>
      </x:c>
      <x:c r="L22" s="2" t="n">
        <x:f>MIN(F22,G22+H22-I22)</x:f>
        <x:v>32</x:v>
      </x:c>
      <x:c r="M22" s="2" t="n">
        <x:f>G22+H22-L22-I22</x:f>
        <x:v>5</x:v>
      </x:c>
      <x:c r="N22" s="2" t="n">
        <x:f>F22-L22</x:f>
        <x:v>0</x:v>
      </x:c>
      <x:c r="O22" s="2" t="n">
        <x:f>N22-J22</x:f>
        <x:v>0</x:v>
      </x:c>
      <x:c r="P22" s="2" t="n">
        <x:f>L22+I22</x:f>
        <x:v>32</x:v>
      </x:c>
      <x:c r="Q22" s="8" t="n">
        <x:f>P22*E22</x:f>
        <x:v>240</x:v>
      </x:c>
      <x:c r="R22" s="8" t="n">
        <x:f>I22*E22</x:f>
        <x:v>0</x:v>
      </x:c>
      <x:c r="S22" s="8" t="n">
        <x:f>O22*E22</x:f>
        <x:v>0</x:v>
      </x:c>
      <x:c r="T22" s="2" t="str">
        <x:f>IF(A22&lt;DATE(2025,12,1),"",IF(D22="Closed",0,ROUND(AVERAGEIFS('Daily inputs'!$F$2:$F$367,'Daily inputs'!$B$2:$B$367,B22,'Daily inputs'!$C$2:$C$367,C22,'Daily inputs'!$D$2:$D$367,"Training"),0)))</x:f>
      </x:c>
      <x:c r="U22" s="2" t="str">
        <x:f>IF(A22&lt;DATE(2025,12,1),"",ROUND(T22*IF(D22="Christmas",Notes!$B$9,Notes!$B$8),0))</x:f>
      </x:c>
      <x:c r="V22" s="2" t="str">
        <x:f>IF(A22&lt;DATE(2025,12,1),"",ABS(T22-F22))</x:f>
      </x:c>
      <x:c r="W22" s="2" t="str">
        <x:f>IF(A22&lt;DATE(2025,12,1),"",ABS(U22-F22))</x:f>
      </x:c>
      <x:c r="X22" s="2" t="str">
        <x:f>IF(A22&lt;DATE(2025,12,1),"",T22-F22)</x:f>
      </x:c>
      <x:c r="Y22" s="2" t="str">
        <x:f>IF(A22&lt;DATE(2025,12,1),"",U22-F22)</x:f>
      </x:c>
      <x:c r="Z22" s="2" t="n">
        <x:f>IF(N22&gt;0,1,0)</x:f>
        <x:v>0</x:v>
      </x:c>
    </x:row>
    <x:row r="23" ht="21" customHeight="1">
      <x:c r="A23" s="6" t="n">
        <x:f>'Daily inputs'!A23</x:f>
        <x:v>45965</x:v>
      </x:c>
      <x:c r="B23" s="2" t="str">
        <x:f>'Daily inputs'!B23</x:f>
        <x:v>I04</x:v>
      </x:c>
      <x:c r="C23" s="2" t="n">
        <x:f>'Daily inputs'!C23</x:f>
        <x:v>2</x:v>
      </x:c>
      <x:c r="D23" s="2" t="str">
        <x:f>'Daily inputs'!D23</x:f>
        <x:v>Training</x:v>
      </x:c>
      <x:c r="E23" s="7" t="n">
        <x:f>'Daily inputs'!E23</x:f>
        <x:v>9</x:v>
      </x:c>
      <x:c r="F23" s="2" t="n">
        <x:f>'Daily inputs'!F23</x:f>
        <x:v>38</x:v>
      </x:c>
      <x:c r="G23" s="2" t="n">
        <x:f>'Daily inputs'!G23</x:f>
        <x:v>5</x:v>
      </x:c>
      <x:c r="H23" s="2" t="n">
        <x:f>'Daily inputs'!H23</x:f>
        <x:v>39</x:v>
      </x:c>
      <x:c r="I23" s="2" t="n">
        <x:f>'Daily inputs'!I23</x:f>
        <x:v>0</x:v>
      </x:c>
      <x:c r="J23" s="2" t="n">
        <x:f>'Daily inputs'!J23</x:f>
        <x:v>0</x:v>
      </x:c>
      <x:c r="K23" s="2" t="n">
        <x:f>'Daily inputs'!K23</x:f>
        <x:v>0</x:v>
      </x:c>
      <x:c r="L23" s="2" t="n">
        <x:f>MIN(F23,G23+H23-I23)</x:f>
        <x:v>38</x:v>
      </x:c>
      <x:c r="M23" s="2" t="n">
        <x:f>G23+H23-L23-I23</x:f>
        <x:v>6</x:v>
      </x:c>
      <x:c r="N23" s="2" t="n">
        <x:f>F23-L23</x:f>
        <x:v>0</x:v>
      </x:c>
      <x:c r="O23" s="2" t="n">
        <x:f>N23-J23</x:f>
        <x:v>0</x:v>
      </x:c>
      <x:c r="P23" s="2" t="n">
        <x:f>L23+I23</x:f>
        <x:v>38</x:v>
      </x:c>
      <x:c r="Q23" s="8" t="n">
        <x:f>P23*E23</x:f>
        <x:v>342</x:v>
      </x:c>
      <x:c r="R23" s="8" t="n">
        <x:f>I23*E23</x:f>
        <x:v>0</x:v>
      </x:c>
      <x:c r="S23" s="8" t="n">
        <x:f>O23*E23</x:f>
        <x:v>0</x:v>
      </x:c>
      <x:c r="T23" s="2" t="str">
        <x:f>IF(A23&lt;DATE(2025,12,1),"",IF(D23="Closed",0,ROUND(AVERAGEIFS('Daily inputs'!$F$2:$F$367,'Daily inputs'!$B$2:$B$367,B23,'Daily inputs'!$C$2:$C$367,C23,'Daily inputs'!$D$2:$D$367,"Training"),0)))</x:f>
      </x:c>
      <x:c r="U23" s="2" t="str">
        <x:f>IF(A23&lt;DATE(2025,12,1),"",ROUND(T23*IF(D23="Christmas",Notes!$B$9,Notes!$B$8),0))</x:f>
      </x:c>
      <x:c r="V23" s="2" t="str">
        <x:f>IF(A23&lt;DATE(2025,12,1),"",ABS(T23-F23))</x:f>
      </x:c>
      <x:c r="W23" s="2" t="str">
        <x:f>IF(A23&lt;DATE(2025,12,1),"",ABS(U23-F23))</x:f>
      </x:c>
      <x:c r="X23" s="2" t="str">
        <x:f>IF(A23&lt;DATE(2025,12,1),"",T23-F23)</x:f>
      </x:c>
      <x:c r="Y23" s="2" t="str">
        <x:f>IF(A23&lt;DATE(2025,12,1),"",U23-F23)</x:f>
      </x:c>
      <x:c r="Z23" s="2" t="n">
        <x:f>IF(N23&gt;0,1,0)</x:f>
        <x:v>0</x:v>
      </x:c>
    </x:row>
    <x:row r="24" ht="21" customHeight="1">
      <x:c r="A24" s="6" t="n">
        <x:f>'Daily inputs'!A24</x:f>
        <x:v>45965</x:v>
      </x:c>
      <x:c r="B24" s="2" t="str">
        <x:f>'Daily inputs'!B24</x:f>
        <x:v>I05</x:v>
      </x:c>
      <x:c r="C24" s="2" t="n">
        <x:f>'Daily inputs'!C24</x:f>
        <x:v>2</x:v>
      </x:c>
      <x:c r="D24" s="2" t="str">
        <x:f>'Daily inputs'!D24</x:f>
        <x:v>Training</x:v>
      </x:c>
      <x:c r="E24" s="7" t="n">
        <x:f>'Daily inputs'!E24</x:f>
        <x:v>3.5</x:v>
      </x:c>
      <x:c r="F24" s="2" t="n">
        <x:f>'Daily inputs'!F24</x:f>
        <x:v>76</x:v>
      </x:c>
      <x:c r="G24" s="2" t="n">
        <x:f>'Daily inputs'!G24</x:f>
        <x:v>11</x:v>
      </x:c>
      <x:c r="H24" s="2" t="n">
        <x:f>'Daily inputs'!H24</x:f>
        <x:v>76</x:v>
      </x:c>
      <x:c r="I24" s="2" t="n">
        <x:f>'Daily inputs'!I24</x:f>
        <x:v>0</x:v>
      </x:c>
      <x:c r="J24" s="2" t="n">
        <x:f>'Daily inputs'!J24</x:f>
        <x:v>0</x:v>
      </x:c>
      <x:c r="K24" s="2" t="n">
        <x:f>'Daily inputs'!K24</x:f>
        <x:v>0</x:v>
      </x:c>
      <x:c r="L24" s="2" t="n">
        <x:f>MIN(F24,G24+H24-I24)</x:f>
        <x:v>76</x:v>
      </x:c>
      <x:c r="M24" s="2" t="n">
        <x:f>G24+H24-L24-I24</x:f>
        <x:v>11</x:v>
      </x:c>
      <x:c r="N24" s="2" t="n">
        <x:f>F24-L24</x:f>
        <x:v>0</x:v>
      </x:c>
      <x:c r="O24" s="2" t="n">
        <x:f>N24-J24</x:f>
        <x:v>0</x:v>
      </x:c>
      <x:c r="P24" s="2" t="n">
        <x:f>L24+I24</x:f>
        <x:v>76</x:v>
      </x:c>
      <x:c r="Q24" s="8" t="n">
        <x:f>P24*E24</x:f>
        <x:v>266</x:v>
      </x:c>
      <x:c r="R24" s="8" t="n">
        <x:f>I24*E24</x:f>
        <x:v>0</x:v>
      </x:c>
      <x:c r="S24" s="8" t="n">
        <x:f>O24*E24</x:f>
        <x:v>0</x:v>
      </x:c>
      <x:c r="T24" s="2" t="str">
        <x:f>IF(A24&lt;DATE(2025,12,1),"",IF(D24="Closed",0,ROUND(AVERAGEIFS('Daily inputs'!$F$2:$F$367,'Daily inputs'!$B$2:$B$367,B24,'Daily inputs'!$C$2:$C$367,C24,'Daily inputs'!$D$2:$D$367,"Training"),0)))</x:f>
      </x:c>
      <x:c r="U24" s="2" t="str">
        <x:f>IF(A24&lt;DATE(2025,12,1),"",ROUND(T24*IF(D24="Christmas",Notes!$B$9,Notes!$B$8),0))</x:f>
      </x:c>
      <x:c r="V24" s="2" t="str">
        <x:f>IF(A24&lt;DATE(2025,12,1),"",ABS(T24-F24))</x:f>
      </x:c>
      <x:c r="W24" s="2" t="str">
        <x:f>IF(A24&lt;DATE(2025,12,1),"",ABS(U24-F24))</x:f>
      </x:c>
      <x:c r="X24" s="2" t="str">
        <x:f>IF(A24&lt;DATE(2025,12,1),"",T24-F24)</x:f>
      </x:c>
      <x:c r="Y24" s="2" t="str">
        <x:f>IF(A24&lt;DATE(2025,12,1),"",U24-F24)</x:f>
      </x:c>
      <x:c r="Z24" s="2" t="n">
        <x:f>IF(N24&gt;0,1,0)</x:f>
        <x:v>0</x:v>
      </x:c>
    </x:row>
    <x:row r="25" ht="21" customHeight="1">
      <x:c r="A25" s="6" t="n">
        <x:f>'Daily inputs'!A25</x:f>
        <x:v>45965</x:v>
      </x:c>
      <x:c r="B25" s="2" t="str">
        <x:f>'Daily inputs'!B25</x:f>
        <x:v>I06</x:v>
      </x:c>
      <x:c r="C25" s="2" t="n">
        <x:f>'Daily inputs'!C25</x:f>
        <x:v>2</x:v>
      </x:c>
      <x:c r="D25" s="2" t="str">
        <x:f>'Daily inputs'!D25</x:f>
        <x:v>Training</x:v>
      </x:c>
      <x:c r="E25" s="7" t="n">
        <x:f>'Daily inputs'!E25</x:f>
        <x:v>3</x:v>
      </x:c>
      <x:c r="F25" s="2" t="n">
        <x:f>'Daily inputs'!F25</x:f>
        <x:v>28</x:v>
      </x:c>
      <x:c r="G25" s="2" t="n">
        <x:f>'Daily inputs'!G25</x:f>
        <x:v>4</x:v>
      </x:c>
      <x:c r="H25" s="2" t="n">
        <x:f>'Daily inputs'!H25</x:f>
        <x:v>28</x:v>
      </x:c>
      <x:c r="I25" s="2" t="n">
        <x:f>'Daily inputs'!I25</x:f>
        <x:v>0</x:v>
      </x:c>
      <x:c r="J25" s="2" t="n">
        <x:f>'Daily inputs'!J25</x:f>
        <x:v>0</x:v>
      </x:c>
      <x:c r="K25" s="2" t="n">
        <x:f>'Daily inputs'!K25</x:f>
        <x:v>0</x:v>
      </x:c>
      <x:c r="L25" s="2" t="n">
        <x:f>MIN(F25,G25+H25-I25)</x:f>
        <x:v>28</x:v>
      </x:c>
      <x:c r="M25" s="2" t="n">
        <x:f>G25+H25-L25-I25</x:f>
        <x:v>4</x:v>
      </x:c>
      <x:c r="N25" s="2" t="n">
        <x:f>F25-L25</x:f>
        <x:v>0</x:v>
      </x:c>
      <x:c r="O25" s="2" t="n">
        <x:f>N25-J25</x:f>
        <x:v>0</x:v>
      </x:c>
      <x:c r="P25" s="2" t="n">
        <x:f>L25+I25</x:f>
        <x:v>28</x:v>
      </x:c>
      <x:c r="Q25" s="8" t="n">
        <x:f>P25*E25</x:f>
        <x:v>84</x:v>
      </x:c>
      <x:c r="R25" s="8" t="n">
        <x:f>I25*E25</x:f>
        <x:v>0</x:v>
      </x:c>
      <x:c r="S25" s="8" t="n">
        <x:f>O25*E25</x:f>
        <x:v>0</x:v>
      </x:c>
      <x:c r="T25" s="2" t="str">
        <x:f>IF(A25&lt;DATE(2025,12,1),"",IF(D25="Closed",0,ROUND(AVERAGEIFS('Daily inputs'!$F$2:$F$367,'Daily inputs'!$B$2:$B$367,B25,'Daily inputs'!$C$2:$C$367,C25,'Daily inputs'!$D$2:$D$367,"Training"),0)))</x:f>
      </x:c>
      <x:c r="U25" s="2" t="str">
        <x:f>IF(A25&lt;DATE(2025,12,1),"",ROUND(T25*IF(D25="Christmas",Notes!$B$9,Notes!$B$8),0))</x:f>
      </x:c>
      <x:c r="V25" s="2" t="str">
        <x:f>IF(A25&lt;DATE(2025,12,1),"",ABS(T25-F25))</x:f>
      </x:c>
      <x:c r="W25" s="2" t="str">
        <x:f>IF(A25&lt;DATE(2025,12,1),"",ABS(U25-F25))</x:f>
      </x:c>
      <x:c r="X25" s="2" t="str">
        <x:f>IF(A25&lt;DATE(2025,12,1),"",T25-F25)</x:f>
      </x:c>
      <x:c r="Y25" s="2" t="str">
        <x:f>IF(A25&lt;DATE(2025,12,1),"",U25-F25)</x:f>
      </x:c>
      <x:c r="Z25" s="2" t="n">
        <x:f>IF(N25&gt;0,1,0)</x:f>
        <x:v>0</x:v>
      </x:c>
    </x:row>
    <x:row r="26" ht="21" customHeight="1">
      <x:c r="A26" s="6" t="n">
        <x:f>'Daily inputs'!A26</x:f>
        <x:v>45966</x:v>
      </x:c>
      <x:c r="B26" s="2" t="str">
        <x:f>'Daily inputs'!B26</x:f>
        <x:v>I01</x:v>
      </x:c>
      <x:c r="C26" s="2" t="n">
        <x:f>'Daily inputs'!C26</x:f>
        <x:v>3</x:v>
      </x:c>
      <x:c r="D26" s="2" t="str">
        <x:f>'Daily inputs'!D26</x:f>
        <x:v>Training</x:v>
      </x:c>
      <x:c r="E26" s="7" t="n">
        <x:f>'Daily inputs'!E26</x:f>
        <x:v>8.5</x:v>
      </x:c>
      <x:c r="F26" s="2" t="n">
        <x:f>'Daily inputs'!F26</x:f>
        <x:v>64</x:v>
      </x:c>
      <x:c r="G26" s="2" t="n">
        <x:f>'Daily inputs'!G26</x:f>
        <x:v>10</x:v>
      </x:c>
      <x:c r="H26" s="2" t="n">
        <x:f>'Daily inputs'!H26</x:f>
        <x:v>64</x:v>
      </x:c>
      <x:c r="I26" s="2" t="n">
        <x:f>'Daily inputs'!I26</x:f>
        <x:v>0</x:v>
      </x:c>
      <x:c r="J26" s="2" t="n">
        <x:f>'Daily inputs'!J26</x:f>
        <x:v>0</x:v>
      </x:c>
      <x:c r="K26" s="2" t="n">
        <x:f>'Daily inputs'!K26</x:f>
        <x:v>0</x:v>
      </x:c>
      <x:c r="L26" s="2" t="n">
        <x:f>MIN(F26,G26+H26-I26)</x:f>
        <x:v>64</x:v>
      </x:c>
      <x:c r="M26" s="2" t="n">
        <x:f>G26+H26-L26-I26</x:f>
        <x:v>10</x:v>
      </x:c>
      <x:c r="N26" s="2" t="n">
        <x:f>F26-L26</x:f>
        <x:v>0</x:v>
      </x:c>
      <x:c r="O26" s="2" t="n">
        <x:f>N26-J26</x:f>
        <x:v>0</x:v>
      </x:c>
      <x:c r="P26" s="2" t="n">
        <x:f>L26+I26</x:f>
        <x:v>64</x:v>
      </x:c>
      <x:c r="Q26" s="8" t="n">
        <x:f>P26*E26</x:f>
        <x:v>544</x:v>
      </x:c>
      <x:c r="R26" s="8" t="n">
        <x:f>I26*E26</x:f>
        <x:v>0</x:v>
      </x:c>
      <x:c r="S26" s="8" t="n">
        <x:f>O26*E26</x:f>
        <x:v>0</x:v>
      </x:c>
      <x:c r="T26" s="2" t="str">
        <x:f>IF(A26&lt;DATE(2025,12,1),"",IF(D26="Closed",0,ROUND(AVERAGEIFS('Daily inputs'!$F$2:$F$367,'Daily inputs'!$B$2:$B$367,B26,'Daily inputs'!$C$2:$C$367,C26,'Daily inputs'!$D$2:$D$367,"Training"),0)))</x:f>
      </x:c>
      <x:c r="U26" s="2" t="str">
        <x:f>IF(A26&lt;DATE(2025,12,1),"",ROUND(T26*IF(D26="Christmas",Notes!$B$9,Notes!$B$8),0))</x:f>
      </x:c>
      <x:c r="V26" s="2" t="str">
        <x:f>IF(A26&lt;DATE(2025,12,1),"",ABS(T26-F26))</x:f>
      </x:c>
      <x:c r="W26" s="2" t="str">
        <x:f>IF(A26&lt;DATE(2025,12,1),"",ABS(U26-F26))</x:f>
      </x:c>
      <x:c r="X26" s="2" t="str">
        <x:f>IF(A26&lt;DATE(2025,12,1),"",T26-F26)</x:f>
      </x:c>
      <x:c r="Y26" s="2" t="str">
        <x:f>IF(A26&lt;DATE(2025,12,1),"",U26-F26)</x:f>
      </x:c>
      <x:c r="Z26" s="2" t="n">
        <x:f>IF(N26&gt;0,1,0)</x:f>
        <x:v>0</x:v>
      </x:c>
    </x:row>
    <x:row r="27" ht="21" customHeight="1">
      <x:c r="A27" s="6" t="n">
        <x:f>'Daily inputs'!A27</x:f>
        <x:v>45966</x:v>
      </x:c>
      <x:c r="B27" s="2" t="str">
        <x:f>'Daily inputs'!B27</x:f>
        <x:v>I02</x:v>
      </x:c>
      <x:c r="C27" s="2" t="n">
        <x:f>'Daily inputs'!C27</x:f>
        <x:v>3</x:v>
      </x:c>
      <x:c r="D27" s="2" t="str">
        <x:f>'Daily inputs'!D27</x:f>
        <x:v>Training</x:v>
      </x:c>
      <x:c r="E27" s="7" t="n">
        <x:f>'Daily inputs'!E27</x:f>
        <x:v>8</x:v>
      </x:c>
      <x:c r="F27" s="2" t="n">
        <x:f>'Daily inputs'!F27</x:f>
        <x:v>53</x:v>
      </x:c>
      <x:c r="G27" s="2" t="n">
        <x:f>'Daily inputs'!G27</x:f>
        <x:v>7</x:v>
      </x:c>
      <x:c r="H27" s="2" t="n">
        <x:f>'Daily inputs'!H27</x:f>
        <x:v>54</x:v>
      </x:c>
      <x:c r="I27" s="2" t="n">
        <x:f>'Daily inputs'!I27</x:f>
        <x:v>0</x:v>
      </x:c>
      <x:c r="J27" s="2" t="n">
        <x:f>'Daily inputs'!J27</x:f>
        <x:v>0</x:v>
      </x:c>
      <x:c r="K27" s="2" t="n">
        <x:f>'Daily inputs'!K27</x:f>
        <x:v>0</x:v>
      </x:c>
      <x:c r="L27" s="2" t="n">
        <x:f>MIN(F27,G27+H27-I27)</x:f>
        <x:v>53</x:v>
      </x:c>
      <x:c r="M27" s="2" t="n">
        <x:f>G27+H27-L27-I27</x:f>
        <x:v>8</x:v>
      </x:c>
      <x:c r="N27" s="2" t="n">
        <x:f>F27-L27</x:f>
        <x:v>0</x:v>
      </x:c>
      <x:c r="O27" s="2" t="n">
        <x:f>N27-J27</x:f>
        <x:v>0</x:v>
      </x:c>
      <x:c r="P27" s="2" t="n">
        <x:f>L27+I27</x:f>
        <x:v>53</x:v>
      </x:c>
      <x:c r="Q27" s="8" t="n">
        <x:f>P27*E27</x:f>
        <x:v>424</x:v>
      </x:c>
      <x:c r="R27" s="8" t="n">
        <x:f>I27*E27</x:f>
        <x:v>0</x:v>
      </x:c>
      <x:c r="S27" s="8" t="n">
        <x:f>O27*E27</x:f>
        <x:v>0</x:v>
      </x:c>
      <x:c r="T27" s="2" t="str">
        <x:f>IF(A27&lt;DATE(2025,12,1),"",IF(D27="Closed",0,ROUND(AVERAGEIFS('Daily inputs'!$F$2:$F$367,'Daily inputs'!$B$2:$B$367,B27,'Daily inputs'!$C$2:$C$367,C27,'Daily inputs'!$D$2:$D$367,"Training"),0)))</x:f>
      </x:c>
      <x:c r="U27" s="2" t="str">
        <x:f>IF(A27&lt;DATE(2025,12,1),"",ROUND(T27*IF(D27="Christmas",Notes!$B$9,Notes!$B$8),0))</x:f>
      </x:c>
      <x:c r="V27" s="2" t="str">
        <x:f>IF(A27&lt;DATE(2025,12,1),"",ABS(T27-F27))</x:f>
      </x:c>
      <x:c r="W27" s="2" t="str">
        <x:f>IF(A27&lt;DATE(2025,12,1),"",ABS(U27-F27))</x:f>
      </x:c>
      <x:c r="X27" s="2" t="str">
        <x:f>IF(A27&lt;DATE(2025,12,1),"",T27-F27)</x:f>
      </x:c>
      <x:c r="Y27" s="2" t="str">
        <x:f>IF(A27&lt;DATE(2025,12,1),"",U27-F27)</x:f>
      </x:c>
      <x:c r="Z27" s="2" t="n">
        <x:f>IF(N27&gt;0,1,0)</x:f>
        <x:v>0</x:v>
      </x:c>
    </x:row>
    <x:row r="28" ht="21" customHeight="1">
      <x:c r="A28" s="6" t="n">
        <x:f>'Daily inputs'!A28</x:f>
        <x:v>45966</x:v>
      </x:c>
      <x:c r="B28" s="2" t="str">
        <x:f>'Daily inputs'!B28</x:f>
        <x:v>I03</x:v>
      </x:c>
      <x:c r="C28" s="2" t="n">
        <x:f>'Daily inputs'!C28</x:f>
        <x:v>3</x:v>
      </x:c>
      <x:c r="D28" s="2" t="str">
        <x:f>'Daily inputs'!D28</x:f>
        <x:v>Training</x:v>
      </x:c>
      <x:c r="E28" s="7" t="n">
        <x:f>'Daily inputs'!E28</x:f>
        <x:v>7.5</x:v>
      </x:c>
      <x:c r="F28" s="2" t="n">
        <x:f>'Daily inputs'!F28</x:f>
        <x:v>31</x:v>
      </x:c>
      <x:c r="G28" s="2" t="n">
        <x:f>'Daily inputs'!G28</x:f>
        <x:v>5</x:v>
      </x:c>
      <x:c r="H28" s="2" t="n">
        <x:f>'Daily inputs'!H28</x:f>
        <x:v>31</x:v>
      </x:c>
      <x:c r="I28" s="2" t="n">
        <x:f>'Daily inputs'!I28</x:f>
        <x:v>0</x:v>
      </x:c>
      <x:c r="J28" s="2" t="n">
        <x:f>'Daily inputs'!J28</x:f>
        <x:v>0</x:v>
      </x:c>
      <x:c r="K28" s="2" t="n">
        <x:f>'Daily inputs'!K28</x:f>
        <x:v>0</x:v>
      </x:c>
      <x:c r="L28" s="2" t="n">
        <x:f>MIN(F28,G28+H28-I28)</x:f>
        <x:v>31</x:v>
      </x:c>
      <x:c r="M28" s="2" t="n">
        <x:f>G28+H28-L28-I28</x:f>
        <x:v>5</x:v>
      </x:c>
      <x:c r="N28" s="2" t="n">
        <x:f>F28-L28</x:f>
        <x:v>0</x:v>
      </x:c>
      <x:c r="O28" s="2" t="n">
        <x:f>N28-J28</x:f>
        <x:v>0</x:v>
      </x:c>
      <x:c r="P28" s="2" t="n">
        <x:f>L28+I28</x:f>
        <x:v>31</x:v>
      </x:c>
      <x:c r="Q28" s="8" t="n">
        <x:f>P28*E28</x:f>
        <x:v>232.5</x:v>
      </x:c>
      <x:c r="R28" s="8" t="n">
        <x:f>I28*E28</x:f>
        <x:v>0</x:v>
      </x:c>
      <x:c r="S28" s="8" t="n">
        <x:f>O28*E28</x:f>
        <x:v>0</x:v>
      </x:c>
      <x:c r="T28" s="2" t="str">
        <x:f>IF(A28&lt;DATE(2025,12,1),"",IF(D28="Closed",0,ROUND(AVERAGEIFS('Daily inputs'!$F$2:$F$367,'Daily inputs'!$B$2:$B$367,B28,'Daily inputs'!$C$2:$C$367,C28,'Daily inputs'!$D$2:$D$367,"Training"),0)))</x:f>
      </x:c>
      <x:c r="U28" s="2" t="str">
        <x:f>IF(A28&lt;DATE(2025,12,1),"",ROUND(T28*IF(D28="Christmas",Notes!$B$9,Notes!$B$8),0))</x:f>
      </x:c>
      <x:c r="V28" s="2" t="str">
        <x:f>IF(A28&lt;DATE(2025,12,1),"",ABS(T28-F28))</x:f>
      </x:c>
      <x:c r="W28" s="2" t="str">
        <x:f>IF(A28&lt;DATE(2025,12,1),"",ABS(U28-F28))</x:f>
      </x:c>
      <x:c r="X28" s="2" t="str">
        <x:f>IF(A28&lt;DATE(2025,12,1),"",T28-F28)</x:f>
      </x:c>
      <x:c r="Y28" s="2" t="str">
        <x:f>IF(A28&lt;DATE(2025,12,1),"",U28-F28)</x:f>
      </x:c>
      <x:c r="Z28" s="2" t="n">
        <x:f>IF(N28&gt;0,1,0)</x:f>
        <x:v>0</x:v>
      </x:c>
    </x:row>
    <x:row r="29" ht="21" customHeight="1">
      <x:c r="A29" s="6" t="n">
        <x:f>'Daily inputs'!A29</x:f>
        <x:v>45966</x:v>
      </x:c>
      <x:c r="B29" s="2" t="str">
        <x:f>'Daily inputs'!B29</x:f>
        <x:v>I04</x:v>
      </x:c>
      <x:c r="C29" s="2" t="n">
        <x:f>'Daily inputs'!C29</x:f>
        <x:v>3</x:v>
      </x:c>
      <x:c r="D29" s="2" t="str">
        <x:f>'Daily inputs'!D29</x:f>
        <x:v>Training</x:v>
      </x:c>
      <x:c r="E29" s="7" t="n">
        <x:f>'Daily inputs'!E29</x:f>
        <x:v>9</x:v>
      </x:c>
      <x:c r="F29" s="2" t="n">
        <x:f>'Daily inputs'!F29</x:f>
        <x:v>37</x:v>
      </x:c>
      <x:c r="G29" s="2" t="n">
        <x:f>'Daily inputs'!G29</x:f>
        <x:v>6</x:v>
      </x:c>
      <x:c r="H29" s="2" t="n">
        <x:f>'Daily inputs'!H29</x:f>
        <x:v>37</x:v>
      </x:c>
      <x:c r="I29" s="2" t="n">
        <x:f>'Daily inputs'!I29</x:f>
        <x:v>0</x:v>
      </x:c>
      <x:c r="J29" s="2" t="n">
        <x:f>'Daily inputs'!J29</x:f>
        <x:v>0</x:v>
      </x:c>
      <x:c r="K29" s="2" t="n">
        <x:f>'Daily inputs'!K29</x:f>
        <x:v>0</x:v>
      </x:c>
      <x:c r="L29" s="2" t="n">
        <x:f>MIN(F29,G29+H29-I29)</x:f>
        <x:v>37</x:v>
      </x:c>
      <x:c r="M29" s="2" t="n">
        <x:f>G29+H29-L29-I29</x:f>
        <x:v>6</x:v>
      </x:c>
      <x:c r="N29" s="2" t="n">
        <x:f>F29-L29</x:f>
        <x:v>0</x:v>
      </x:c>
      <x:c r="O29" s="2" t="n">
        <x:f>N29-J29</x:f>
        <x:v>0</x:v>
      </x:c>
      <x:c r="P29" s="2" t="n">
        <x:f>L29+I29</x:f>
        <x:v>37</x:v>
      </x:c>
      <x:c r="Q29" s="8" t="n">
        <x:f>P29*E29</x:f>
        <x:v>333</x:v>
      </x:c>
      <x:c r="R29" s="8" t="n">
        <x:f>I29*E29</x:f>
        <x:v>0</x:v>
      </x:c>
      <x:c r="S29" s="8" t="n">
        <x:f>O29*E29</x:f>
        <x:v>0</x:v>
      </x:c>
      <x:c r="T29" s="2" t="str">
        <x:f>IF(A29&lt;DATE(2025,12,1),"",IF(D29="Closed",0,ROUND(AVERAGEIFS('Daily inputs'!$F$2:$F$367,'Daily inputs'!$B$2:$B$367,B29,'Daily inputs'!$C$2:$C$367,C29,'Daily inputs'!$D$2:$D$367,"Training"),0)))</x:f>
      </x:c>
      <x:c r="U29" s="2" t="str">
        <x:f>IF(A29&lt;DATE(2025,12,1),"",ROUND(T29*IF(D29="Christmas",Notes!$B$9,Notes!$B$8),0))</x:f>
      </x:c>
      <x:c r="V29" s="2" t="str">
        <x:f>IF(A29&lt;DATE(2025,12,1),"",ABS(T29-F29))</x:f>
      </x:c>
      <x:c r="W29" s="2" t="str">
        <x:f>IF(A29&lt;DATE(2025,12,1),"",ABS(U29-F29))</x:f>
      </x:c>
      <x:c r="X29" s="2" t="str">
        <x:f>IF(A29&lt;DATE(2025,12,1),"",T29-F29)</x:f>
      </x:c>
      <x:c r="Y29" s="2" t="str">
        <x:f>IF(A29&lt;DATE(2025,12,1),"",U29-F29)</x:f>
      </x:c>
      <x:c r="Z29" s="2" t="n">
        <x:f>IF(N29&gt;0,1,0)</x:f>
        <x:v>0</x:v>
      </x:c>
    </x:row>
    <x:row r="30" ht="21" customHeight="1">
      <x:c r="A30" s="6" t="n">
        <x:f>'Daily inputs'!A30</x:f>
        <x:v>45966</x:v>
      </x:c>
      <x:c r="B30" s="2" t="str">
        <x:f>'Daily inputs'!B30</x:f>
        <x:v>I05</x:v>
      </x:c>
      <x:c r="C30" s="2" t="n">
        <x:f>'Daily inputs'!C30</x:f>
        <x:v>3</x:v>
      </x:c>
      <x:c r="D30" s="2" t="str">
        <x:f>'Daily inputs'!D30</x:f>
        <x:v>Training</x:v>
      </x:c>
      <x:c r="E30" s="7" t="n">
        <x:f>'Daily inputs'!E30</x:f>
        <x:v>3.5</x:v>
      </x:c>
      <x:c r="F30" s="2" t="n">
        <x:f>'Daily inputs'!F30</x:f>
        <x:v>77</x:v>
      </x:c>
      <x:c r="G30" s="2" t="n">
        <x:f>'Daily inputs'!G30</x:f>
        <x:v>11</x:v>
      </x:c>
      <x:c r="H30" s="2" t="n">
        <x:f>'Daily inputs'!H30</x:f>
        <x:v>78</x:v>
      </x:c>
      <x:c r="I30" s="2" t="n">
        <x:f>'Daily inputs'!I30</x:f>
        <x:v>0</x:v>
      </x:c>
      <x:c r="J30" s="2" t="n">
        <x:f>'Daily inputs'!J30</x:f>
        <x:v>0</x:v>
      </x:c>
      <x:c r="K30" s="2" t="n">
        <x:f>'Daily inputs'!K30</x:f>
        <x:v>0</x:v>
      </x:c>
      <x:c r="L30" s="2" t="n">
        <x:f>MIN(F30,G30+H30-I30)</x:f>
        <x:v>77</x:v>
      </x:c>
      <x:c r="M30" s="2" t="n">
        <x:f>G30+H30-L30-I30</x:f>
        <x:v>12</x:v>
      </x:c>
      <x:c r="N30" s="2" t="n">
        <x:f>F30-L30</x:f>
        <x:v>0</x:v>
      </x:c>
      <x:c r="O30" s="2" t="n">
        <x:f>N30-J30</x:f>
        <x:v>0</x:v>
      </x:c>
      <x:c r="P30" s="2" t="n">
        <x:f>L30+I30</x:f>
        <x:v>77</x:v>
      </x:c>
      <x:c r="Q30" s="8" t="n">
        <x:f>P30*E30</x:f>
        <x:v>269.5</x:v>
      </x:c>
      <x:c r="R30" s="8" t="n">
        <x:f>I30*E30</x:f>
        <x:v>0</x:v>
      </x:c>
      <x:c r="S30" s="8" t="n">
        <x:f>O30*E30</x:f>
        <x:v>0</x:v>
      </x:c>
      <x:c r="T30" s="2" t="str">
        <x:f>IF(A30&lt;DATE(2025,12,1),"",IF(D30="Closed",0,ROUND(AVERAGEIFS('Daily inputs'!$F$2:$F$367,'Daily inputs'!$B$2:$B$367,B30,'Daily inputs'!$C$2:$C$367,C30,'Daily inputs'!$D$2:$D$367,"Training"),0)))</x:f>
      </x:c>
      <x:c r="U30" s="2" t="str">
        <x:f>IF(A30&lt;DATE(2025,12,1),"",ROUND(T30*IF(D30="Christmas",Notes!$B$9,Notes!$B$8),0))</x:f>
      </x:c>
      <x:c r="V30" s="2" t="str">
        <x:f>IF(A30&lt;DATE(2025,12,1),"",ABS(T30-F30))</x:f>
      </x:c>
      <x:c r="W30" s="2" t="str">
        <x:f>IF(A30&lt;DATE(2025,12,1),"",ABS(U30-F30))</x:f>
      </x:c>
      <x:c r="X30" s="2" t="str">
        <x:f>IF(A30&lt;DATE(2025,12,1),"",T30-F30)</x:f>
      </x:c>
      <x:c r="Y30" s="2" t="str">
        <x:f>IF(A30&lt;DATE(2025,12,1),"",U30-F30)</x:f>
      </x:c>
      <x:c r="Z30" s="2" t="n">
        <x:f>IF(N30&gt;0,1,0)</x:f>
        <x:v>0</x:v>
      </x:c>
    </x:row>
    <x:row r="31" ht="21" customHeight="1">
      <x:c r="A31" s="6" t="n">
        <x:f>'Daily inputs'!A31</x:f>
        <x:v>45966</x:v>
      </x:c>
      <x:c r="B31" s="2" t="str">
        <x:f>'Daily inputs'!B31</x:f>
        <x:v>I06</x:v>
      </x:c>
      <x:c r="C31" s="2" t="n">
        <x:f>'Daily inputs'!C31</x:f>
        <x:v>3</x:v>
      </x:c>
      <x:c r="D31" s="2" t="str">
        <x:f>'Daily inputs'!D31</x:f>
        <x:v>Training</x:v>
      </x:c>
      <x:c r="E31" s="7" t="n">
        <x:f>'Daily inputs'!E31</x:f>
        <x:v>3</x:v>
      </x:c>
      <x:c r="F31" s="2" t="n">
        <x:f>'Daily inputs'!F31</x:f>
        <x:v>28</x:v>
      </x:c>
      <x:c r="G31" s="2" t="n">
        <x:f>'Daily inputs'!G31</x:f>
        <x:v>4</x:v>
      </x:c>
      <x:c r="H31" s="2" t="n">
        <x:f>'Daily inputs'!H31</x:f>
        <x:v>28</x:v>
      </x:c>
      <x:c r="I31" s="2" t="n">
        <x:f>'Daily inputs'!I31</x:f>
        <x:v>0</x:v>
      </x:c>
      <x:c r="J31" s="2" t="n">
        <x:f>'Daily inputs'!J31</x:f>
        <x:v>0</x:v>
      </x:c>
      <x:c r="K31" s="2" t="n">
        <x:f>'Daily inputs'!K31</x:f>
        <x:v>0</x:v>
      </x:c>
      <x:c r="L31" s="2" t="n">
        <x:f>MIN(F31,G31+H31-I31)</x:f>
        <x:v>28</x:v>
      </x:c>
      <x:c r="M31" s="2" t="n">
        <x:f>G31+H31-L31-I31</x:f>
        <x:v>4</x:v>
      </x:c>
      <x:c r="N31" s="2" t="n">
        <x:f>F31-L31</x:f>
        <x:v>0</x:v>
      </x:c>
      <x:c r="O31" s="2" t="n">
        <x:f>N31-J31</x:f>
        <x:v>0</x:v>
      </x:c>
      <x:c r="P31" s="2" t="n">
        <x:f>L31+I31</x:f>
        <x:v>28</x:v>
      </x:c>
      <x:c r="Q31" s="8" t="n">
        <x:f>P31*E31</x:f>
        <x:v>84</x:v>
      </x:c>
      <x:c r="R31" s="8" t="n">
        <x:f>I31*E31</x:f>
        <x:v>0</x:v>
      </x:c>
      <x:c r="S31" s="8" t="n">
        <x:f>O31*E31</x:f>
        <x:v>0</x:v>
      </x:c>
      <x:c r="T31" s="2" t="str">
        <x:f>IF(A31&lt;DATE(2025,12,1),"",IF(D31="Closed",0,ROUND(AVERAGEIFS('Daily inputs'!$F$2:$F$367,'Daily inputs'!$B$2:$B$367,B31,'Daily inputs'!$C$2:$C$367,C31,'Daily inputs'!$D$2:$D$367,"Training"),0)))</x:f>
      </x:c>
      <x:c r="U31" s="2" t="str">
        <x:f>IF(A31&lt;DATE(2025,12,1),"",ROUND(T31*IF(D31="Christmas",Notes!$B$9,Notes!$B$8),0))</x:f>
      </x:c>
      <x:c r="V31" s="2" t="str">
        <x:f>IF(A31&lt;DATE(2025,12,1),"",ABS(T31-F31))</x:f>
      </x:c>
      <x:c r="W31" s="2" t="str">
        <x:f>IF(A31&lt;DATE(2025,12,1),"",ABS(U31-F31))</x:f>
      </x:c>
      <x:c r="X31" s="2" t="str">
        <x:f>IF(A31&lt;DATE(2025,12,1),"",T31-F31)</x:f>
      </x:c>
      <x:c r="Y31" s="2" t="str">
        <x:f>IF(A31&lt;DATE(2025,12,1),"",U31-F31)</x:f>
      </x:c>
      <x:c r="Z31" s="2" t="n">
        <x:f>IF(N31&gt;0,1,0)</x:f>
        <x:v>0</x:v>
      </x:c>
    </x:row>
    <x:row r="32" ht="21" customHeight="1">
      <x:c r="A32" s="6" t="n">
        <x:f>'Daily inputs'!A32</x:f>
        <x:v>45967</x:v>
      </x:c>
      <x:c r="B32" s="2" t="str">
        <x:f>'Daily inputs'!B32</x:f>
        <x:v>I01</x:v>
      </x:c>
      <x:c r="C32" s="2" t="n">
        <x:f>'Daily inputs'!C32</x:f>
        <x:v>4</x:v>
      </x:c>
      <x:c r="D32" s="2" t="str">
        <x:f>'Daily inputs'!D32</x:f>
        <x:v>Training</x:v>
      </x:c>
      <x:c r="E32" s="7" t="n">
        <x:f>'Daily inputs'!E32</x:f>
        <x:v>8.5</x:v>
      </x:c>
      <x:c r="F32" s="2" t="n">
        <x:f>'Daily inputs'!F32</x:f>
        <x:v>70</x:v>
      </x:c>
      <x:c r="G32" s="2" t="n">
        <x:f>'Daily inputs'!G32</x:f>
        <x:v>10</x:v>
      </x:c>
      <x:c r="H32" s="2" t="n">
        <x:f>'Daily inputs'!H32</x:f>
        <x:v>71</x:v>
      </x:c>
      <x:c r="I32" s="2" t="n">
        <x:f>'Daily inputs'!I32</x:f>
        <x:v>0</x:v>
      </x:c>
      <x:c r="J32" s="2" t="n">
        <x:f>'Daily inputs'!J32</x:f>
        <x:v>0</x:v>
      </x:c>
      <x:c r="K32" s="2" t="n">
        <x:f>'Daily inputs'!K32</x:f>
        <x:v>0</x:v>
      </x:c>
      <x:c r="L32" s="2" t="n">
        <x:f>MIN(F32,G32+H32-I32)</x:f>
        <x:v>70</x:v>
      </x:c>
      <x:c r="M32" s="2" t="n">
        <x:f>G32+H32-L32-I32</x:f>
        <x:v>11</x:v>
      </x:c>
      <x:c r="N32" s="2" t="n">
        <x:f>F32-L32</x:f>
        <x:v>0</x:v>
      </x:c>
      <x:c r="O32" s="2" t="n">
        <x:f>N32-J32</x:f>
        <x:v>0</x:v>
      </x:c>
      <x:c r="P32" s="2" t="n">
        <x:f>L32+I32</x:f>
        <x:v>70</x:v>
      </x:c>
      <x:c r="Q32" s="8" t="n">
        <x:f>P32*E32</x:f>
        <x:v>595</x:v>
      </x:c>
      <x:c r="R32" s="8" t="n">
        <x:f>I32*E32</x:f>
        <x:v>0</x:v>
      </x:c>
      <x:c r="S32" s="8" t="n">
        <x:f>O32*E32</x:f>
        <x:v>0</x:v>
      </x:c>
      <x:c r="T32" s="2" t="str">
        <x:f>IF(A32&lt;DATE(2025,12,1),"",IF(D32="Closed",0,ROUND(AVERAGEIFS('Daily inputs'!$F$2:$F$367,'Daily inputs'!$B$2:$B$367,B32,'Daily inputs'!$C$2:$C$367,C32,'Daily inputs'!$D$2:$D$367,"Training"),0)))</x:f>
      </x:c>
      <x:c r="U32" s="2" t="str">
        <x:f>IF(A32&lt;DATE(2025,12,1),"",ROUND(T32*IF(D32="Christmas",Notes!$B$9,Notes!$B$8),0))</x:f>
      </x:c>
      <x:c r="V32" s="2" t="str">
        <x:f>IF(A32&lt;DATE(2025,12,1),"",ABS(T32-F32))</x:f>
      </x:c>
      <x:c r="W32" s="2" t="str">
        <x:f>IF(A32&lt;DATE(2025,12,1),"",ABS(U32-F32))</x:f>
      </x:c>
      <x:c r="X32" s="2" t="str">
        <x:f>IF(A32&lt;DATE(2025,12,1),"",T32-F32)</x:f>
      </x:c>
      <x:c r="Y32" s="2" t="str">
        <x:f>IF(A32&lt;DATE(2025,12,1),"",U32-F32)</x:f>
      </x:c>
      <x:c r="Z32" s="2" t="n">
        <x:f>IF(N32&gt;0,1,0)</x:f>
        <x:v>0</x:v>
      </x:c>
    </x:row>
    <x:row r="33" ht="21" customHeight="1">
      <x:c r="A33" s="6" t="n">
        <x:f>'Daily inputs'!A33</x:f>
        <x:v>45967</x:v>
      </x:c>
      <x:c r="B33" s="2" t="str">
        <x:f>'Daily inputs'!B33</x:f>
        <x:v>I02</x:v>
      </x:c>
      <x:c r="C33" s="2" t="n">
        <x:f>'Daily inputs'!C33</x:f>
        <x:v>4</x:v>
      </x:c>
      <x:c r="D33" s="2" t="str">
        <x:f>'Daily inputs'!D33</x:f>
        <x:v>Training</x:v>
      </x:c>
      <x:c r="E33" s="7" t="n">
        <x:f>'Daily inputs'!E33</x:f>
        <x:v>8</x:v>
      </x:c>
      <x:c r="F33" s="2" t="n">
        <x:f>'Daily inputs'!F33</x:f>
        <x:v>56</x:v>
      </x:c>
      <x:c r="G33" s="2" t="n">
        <x:f>'Daily inputs'!G33</x:f>
        <x:v>8</x:v>
      </x:c>
      <x:c r="H33" s="2" t="n">
        <x:f>'Daily inputs'!H33</x:f>
        <x:v>56</x:v>
      </x:c>
      <x:c r="I33" s="2" t="n">
        <x:f>'Daily inputs'!I33</x:f>
        <x:v>0</x:v>
      </x:c>
      <x:c r="J33" s="2" t="n">
        <x:f>'Daily inputs'!J33</x:f>
        <x:v>0</x:v>
      </x:c>
      <x:c r="K33" s="2" t="n">
        <x:f>'Daily inputs'!K33</x:f>
        <x:v>0</x:v>
      </x:c>
      <x:c r="L33" s="2" t="n">
        <x:f>MIN(F33,G33+H33-I33)</x:f>
        <x:v>56</x:v>
      </x:c>
      <x:c r="M33" s="2" t="n">
        <x:f>G33+H33-L33-I33</x:f>
        <x:v>8</x:v>
      </x:c>
      <x:c r="N33" s="2" t="n">
        <x:f>F33-L33</x:f>
        <x:v>0</x:v>
      </x:c>
      <x:c r="O33" s="2" t="n">
        <x:f>N33-J33</x:f>
        <x:v>0</x:v>
      </x:c>
      <x:c r="P33" s="2" t="n">
        <x:f>L33+I33</x:f>
        <x:v>56</x:v>
      </x:c>
      <x:c r="Q33" s="8" t="n">
        <x:f>P33*E33</x:f>
        <x:v>448</x:v>
      </x:c>
      <x:c r="R33" s="8" t="n">
        <x:f>I33*E33</x:f>
        <x:v>0</x:v>
      </x:c>
      <x:c r="S33" s="8" t="n">
        <x:f>O33*E33</x:f>
        <x:v>0</x:v>
      </x:c>
      <x:c r="T33" s="2" t="str">
        <x:f>IF(A33&lt;DATE(2025,12,1),"",IF(D33="Closed",0,ROUND(AVERAGEIFS('Daily inputs'!$F$2:$F$367,'Daily inputs'!$B$2:$B$367,B33,'Daily inputs'!$C$2:$C$367,C33,'Daily inputs'!$D$2:$D$367,"Training"),0)))</x:f>
      </x:c>
      <x:c r="U33" s="2" t="str">
        <x:f>IF(A33&lt;DATE(2025,12,1),"",ROUND(T33*IF(D33="Christmas",Notes!$B$9,Notes!$B$8),0))</x:f>
      </x:c>
      <x:c r="V33" s="2" t="str">
        <x:f>IF(A33&lt;DATE(2025,12,1),"",ABS(T33-F33))</x:f>
      </x:c>
      <x:c r="W33" s="2" t="str">
        <x:f>IF(A33&lt;DATE(2025,12,1),"",ABS(U33-F33))</x:f>
      </x:c>
      <x:c r="X33" s="2" t="str">
        <x:f>IF(A33&lt;DATE(2025,12,1),"",T33-F33)</x:f>
      </x:c>
      <x:c r="Y33" s="2" t="str">
        <x:f>IF(A33&lt;DATE(2025,12,1),"",U33-F33)</x:f>
      </x:c>
      <x:c r="Z33" s="2" t="n">
        <x:f>IF(N33&gt;0,1,0)</x:f>
        <x:v>0</x:v>
      </x:c>
    </x:row>
    <x:row r="34" ht="21" customHeight="1">
      <x:c r="A34" s="6" t="n">
        <x:f>'Daily inputs'!A34</x:f>
        <x:v>45967</x:v>
      </x:c>
      <x:c r="B34" s="2" t="str">
        <x:f>'Daily inputs'!B34</x:f>
        <x:v>I03</x:v>
      </x:c>
      <x:c r="C34" s="2" t="n">
        <x:f>'Daily inputs'!C34</x:f>
        <x:v>4</x:v>
      </x:c>
      <x:c r="D34" s="2" t="str">
        <x:f>'Daily inputs'!D34</x:f>
        <x:v>Training</x:v>
      </x:c>
      <x:c r="E34" s="7" t="n">
        <x:f>'Daily inputs'!E34</x:f>
        <x:v>7.5</x:v>
      </x:c>
      <x:c r="F34" s="2" t="n">
        <x:f>'Daily inputs'!F34</x:f>
        <x:v>35</x:v>
      </x:c>
      <x:c r="G34" s="2" t="n">
        <x:f>'Daily inputs'!G34</x:f>
        <x:v>5</x:v>
      </x:c>
      <x:c r="H34" s="2" t="n">
        <x:f>'Daily inputs'!H34</x:f>
        <x:v>35</x:v>
      </x:c>
      <x:c r="I34" s="2" t="n">
        <x:f>'Daily inputs'!I34</x:f>
        <x:v>0</x:v>
      </x:c>
      <x:c r="J34" s="2" t="n">
        <x:f>'Daily inputs'!J34</x:f>
        <x:v>0</x:v>
      </x:c>
      <x:c r="K34" s="2" t="n">
        <x:f>'Daily inputs'!K34</x:f>
        <x:v>0</x:v>
      </x:c>
      <x:c r="L34" s="2" t="n">
        <x:f>MIN(F34,G34+H34-I34)</x:f>
        <x:v>35</x:v>
      </x:c>
      <x:c r="M34" s="2" t="n">
        <x:f>G34+H34-L34-I34</x:f>
        <x:v>5</x:v>
      </x:c>
      <x:c r="N34" s="2" t="n">
        <x:f>F34-L34</x:f>
        <x:v>0</x:v>
      </x:c>
      <x:c r="O34" s="2" t="n">
        <x:f>N34-J34</x:f>
        <x:v>0</x:v>
      </x:c>
      <x:c r="P34" s="2" t="n">
        <x:f>L34+I34</x:f>
        <x:v>35</x:v>
      </x:c>
      <x:c r="Q34" s="8" t="n">
        <x:f>P34*E34</x:f>
        <x:v>262.5</x:v>
      </x:c>
      <x:c r="R34" s="8" t="n">
        <x:f>I34*E34</x:f>
        <x:v>0</x:v>
      </x:c>
      <x:c r="S34" s="8" t="n">
        <x:f>O34*E34</x:f>
        <x:v>0</x:v>
      </x:c>
      <x:c r="T34" s="2" t="str">
        <x:f>IF(A34&lt;DATE(2025,12,1),"",IF(D34="Closed",0,ROUND(AVERAGEIFS('Daily inputs'!$F$2:$F$367,'Daily inputs'!$B$2:$B$367,B34,'Daily inputs'!$C$2:$C$367,C34,'Daily inputs'!$D$2:$D$367,"Training"),0)))</x:f>
      </x:c>
      <x:c r="U34" s="2" t="str">
        <x:f>IF(A34&lt;DATE(2025,12,1),"",ROUND(T34*IF(D34="Christmas",Notes!$B$9,Notes!$B$8),0))</x:f>
      </x:c>
      <x:c r="V34" s="2" t="str">
        <x:f>IF(A34&lt;DATE(2025,12,1),"",ABS(T34-F34))</x:f>
      </x:c>
      <x:c r="W34" s="2" t="str">
        <x:f>IF(A34&lt;DATE(2025,12,1),"",ABS(U34-F34))</x:f>
      </x:c>
      <x:c r="X34" s="2" t="str">
        <x:f>IF(A34&lt;DATE(2025,12,1),"",T34-F34)</x:f>
      </x:c>
      <x:c r="Y34" s="2" t="str">
        <x:f>IF(A34&lt;DATE(2025,12,1),"",U34-F34)</x:f>
      </x:c>
      <x:c r="Z34" s="2" t="n">
        <x:f>IF(N34&gt;0,1,0)</x:f>
        <x:v>0</x:v>
      </x:c>
    </x:row>
    <x:row r="35" ht="21" customHeight="1">
      <x:c r="A35" s="6" t="n">
        <x:f>'Daily inputs'!A35</x:f>
        <x:v>45967</x:v>
      </x:c>
      <x:c r="B35" s="2" t="str">
        <x:f>'Daily inputs'!B35</x:f>
        <x:v>I04</x:v>
      </x:c>
      <x:c r="C35" s="2" t="n">
        <x:f>'Daily inputs'!C35</x:f>
        <x:v>4</x:v>
      </x:c>
      <x:c r="D35" s="2" t="str">
        <x:f>'Daily inputs'!D35</x:f>
        <x:v>Training</x:v>
      </x:c>
      <x:c r="E35" s="7" t="n">
        <x:f>'Daily inputs'!E35</x:f>
        <x:v>9</x:v>
      </x:c>
      <x:c r="F35" s="2" t="n">
        <x:f>'Daily inputs'!F35</x:f>
        <x:v>40</x:v>
      </x:c>
      <x:c r="G35" s="2" t="n">
        <x:f>'Daily inputs'!G35</x:f>
        <x:v>6</x:v>
      </x:c>
      <x:c r="H35" s="2" t="n">
        <x:f>'Daily inputs'!H35</x:f>
        <x:v>40</x:v>
      </x:c>
      <x:c r="I35" s="2" t="n">
        <x:f>'Daily inputs'!I35</x:f>
        <x:v>0</x:v>
      </x:c>
      <x:c r="J35" s="2" t="n">
        <x:f>'Daily inputs'!J35</x:f>
        <x:v>0</x:v>
      </x:c>
      <x:c r="K35" s="2" t="n">
        <x:f>'Daily inputs'!K35</x:f>
        <x:v>0</x:v>
      </x:c>
      <x:c r="L35" s="2" t="n">
        <x:f>MIN(F35,G35+H35-I35)</x:f>
        <x:v>40</x:v>
      </x:c>
      <x:c r="M35" s="2" t="n">
        <x:f>G35+H35-L35-I35</x:f>
        <x:v>6</x:v>
      </x:c>
      <x:c r="N35" s="2" t="n">
        <x:f>F35-L35</x:f>
        <x:v>0</x:v>
      </x:c>
      <x:c r="O35" s="2" t="n">
        <x:f>N35-J35</x:f>
        <x:v>0</x:v>
      </x:c>
      <x:c r="P35" s="2" t="n">
        <x:f>L35+I35</x:f>
        <x:v>40</x:v>
      </x:c>
      <x:c r="Q35" s="8" t="n">
        <x:f>P35*E35</x:f>
        <x:v>360</x:v>
      </x:c>
      <x:c r="R35" s="8" t="n">
        <x:f>I35*E35</x:f>
        <x:v>0</x:v>
      </x:c>
      <x:c r="S35" s="8" t="n">
        <x:f>O35*E35</x:f>
        <x:v>0</x:v>
      </x:c>
      <x:c r="T35" s="2" t="str">
        <x:f>IF(A35&lt;DATE(2025,12,1),"",IF(D35="Closed",0,ROUND(AVERAGEIFS('Daily inputs'!$F$2:$F$367,'Daily inputs'!$B$2:$B$367,B35,'Daily inputs'!$C$2:$C$367,C35,'Daily inputs'!$D$2:$D$367,"Training"),0)))</x:f>
      </x:c>
      <x:c r="U35" s="2" t="str">
        <x:f>IF(A35&lt;DATE(2025,12,1),"",ROUND(T35*IF(D35="Christmas",Notes!$B$9,Notes!$B$8),0))</x:f>
      </x:c>
      <x:c r="V35" s="2" t="str">
        <x:f>IF(A35&lt;DATE(2025,12,1),"",ABS(T35-F35))</x:f>
      </x:c>
      <x:c r="W35" s="2" t="str">
        <x:f>IF(A35&lt;DATE(2025,12,1),"",ABS(U35-F35))</x:f>
      </x:c>
      <x:c r="X35" s="2" t="str">
        <x:f>IF(A35&lt;DATE(2025,12,1),"",T35-F35)</x:f>
      </x:c>
      <x:c r="Y35" s="2" t="str">
        <x:f>IF(A35&lt;DATE(2025,12,1),"",U35-F35)</x:f>
      </x:c>
      <x:c r="Z35" s="2" t="n">
        <x:f>IF(N35&gt;0,1,0)</x:f>
        <x:v>0</x:v>
      </x:c>
    </x:row>
    <x:row r="36" ht="21" customHeight="1">
      <x:c r="A36" s="6" t="n">
        <x:f>'Daily inputs'!A36</x:f>
        <x:v>45967</x:v>
      </x:c>
      <x:c r="B36" s="2" t="str">
        <x:f>'Daily inputs'!B36</x:f>
        <x:v>I05</x:v>
      </x:c>
      <x:c r="C36" s="2" t="n">
        <x:f>'Daily inputs'!C36</x:f>
        <x:v>4</x:v>
      </x:c>
      <x:c r="D36" s="2" t="str">
        <x:f>'Daily inputs'!D36</x:f>
        <x:v>Training</x:v>
      </x:c>
      <x:c r="E36" s="7" t="n">
        <x:f>'Daily inputs'!E36</x:f>
        <x:v>3.5</x:v>
      </x:c>
      <x:c r="F36" s="2" t="n">
        <x:f>'Daily inputs'!F36</x:f>
        <x:v>84</x:v>
      </x:c>
      <x:c r="G36" s="2" t="n">
        <x:f>'Daily inputs'!G36</x:f>
        <x:v>12</x:v>
      </x:c>
      <x:c r="H36" s="2" t="n">
        <x:f>'Daily inputs'!H36</x:f>
        <x:v>85</x:v>
      </x:c>
      <x:c r="I36" s="2" t="n">
        <x:f>'Daily inputs'!I36</x:f>
        <x:v>0</x:v>
      </x:c>
      <x:c r="J36" s="2" t="n">
        <x:f>'Daily inputs'!J36</x:f>
        <x:v>0</x:v>
      </x:c>
      <x:c r="K36" s="2" t="n">
        <x:f>'Daily inputs'!K36</x:f>
        <x:v>0</x:v>
      </x:c>
      <x:c r="L36" s="2" t="n">
        <x:f>MIN(F36,G36+H36-I36)</x:f>
        <x:v>84</x:v>
      </x:c>
      <x:c r="M36" s="2" t="n">
        <x:f>G36+H36-L36-I36</x:f>
        <x:v>13</x:v>
      </x:c>
      <x:c r="N36" s="2" t="n">
        <x:f>F36-L36</x:f>
        <x:v>0</x:v>
      </x:c>
      <x:c r="O36" s="2" t="n">
        <x:f>N36-J36</x:f>
        <x:v>0</x:v>
      </x:c>
      <x:c r="P36" s="2" t="n">
        <x:f>L36+I36</x:f>
        <x:v>84</x:v>
      </x:c>
      <x:c r="Q36" s="8" t="n">
        <x:f>P36*E36</x:f>
        <x:v>294</x:v>
      </x:c>
      <x:c r="R36" s="8" t="n">
        <x:f>I36*E36</x:f>
        <x:v>0</x:v>
      </x:c>
      <x:c r="S36" s="8" t="n">
        <x:f>O36*E36</x:f>
        <x:v>0</x:v>
      </x:c>
      <x:c r="T36" s="2" t="str">
        <x:f>IF(A36&lt;DATE(2025,12,1),"",IF(D36="Closed",0,ROUND(AVERAGEIFS('Daily inputs'!$F$2:$F$367,'Daily inputs'!$B$2:$B$367,B36,'Daily inputs'!$C$2:$C$367,C36,'Daily inputs'!$D$2:$D$367,"Training"),0)))</x:f>
      </x:c>
      <x:c r="U36" s="2" t="str">
        <x:f>IF(A36&lt;DATE(2025,12,1),"",ROUND(T36*IF(D36="Christmas",Notes!$B$9,Notes!$B$8),0))</x:f>
      </x:c>
      <x:c r="V36" s="2" t="str">
        <x:f>IF(A36&lt;DATE(2025,12,1),"",ABS(T36-F36))</x:f>
      </x:c>
      <x:c r="W36" s="2" t="str">
        <x:f>IF(A36&lt;DATE(2025,12,1),"",ABS(U36-F36))</x:f>
      </x:c>
      <x:c r="X36" s="2" t="str">
        <x:f>IF(A36&lt;DATE(2025,12,1),"",T36-F36)</x:f>
      </x:c>
      <x:c r="Y36" s="2" t="str">
        <x:f>IF(A36&lt;DATE(2025,12,1),"",U36-F36)</x:f>
      </x:c>
      <x:c r="Z36" s="2" t="n">
        <x:f>IF(N36&gt;0,1,0)</x:f>
        <x:v>0</x:v>
      </x:c>
    </x:row>
    <x:row r="37" ht="21" customHeight="1">
      <x:c r="A37" s="6" t="n">
        <x:f>'Daily inputs'!A37</x:f>
        <x:v>45967</x:v>
      </x:c>
      <x:c r="B37" s="2" t="str">
        <x:f>'Daily inputs'!B37</x:f>
        <x:v>I06</x:v>
      </x:c>
      <x:c r="C37" s="2" t="n">
        <x:f>'Daily inputs'!C37</x:f>
        <x:v>4</x:v>
      </x:c>
      <x:c r="D37" s="2" t="str">
        <x:f>'Daily inputs'!D37</x:f>
        <x:v>Training</x:v>
      </x:c>
      <x:c r="E37" s="7" t="n">
        <x:f>'Daily inputs'!E37</x:f>
        <x:v>3</x:v>
      </x:c>
      <x:c r="F37" s="2" t="n">
        <x:f>'Daily inputs'!F37</x:f>
        <x:v>32</x:v>
      </x:c>
      <x:c r="G37" s="2" t="n">
        <x:f>'Daily inputs'!G37</x:f>
        <x:v>4</x:v>
      </x:c>
      <x:c r="H37" s="2" t="n">
        <x:f>'Daily inputs'!H37</x:f>
        <x:v>33</x:v>
      </x:c>
      <x:c r="I37" s="2" t="n">
        <x:f>'Daily inputs'!I37</x:f>
        <x:v>0</x:v>
      </x:c>
      <x:c r="J37" s="2" t="n">
        <x:f>'Daily inputs'!J37</x:f>
        <x:v>0</x:v>
      </x:c>
      <x:c r="K37" s="2" t="n">
        <x:f>'Daily inputs'!K37</x:f>
        <x:v>0</x:v>
      </x:c>
      <x:c r="L37" s="2" t="n">
        <x:f>MIN(F37,G37+H37-I37)</x:f>
        <x:v>32</x:v>
      </x:c>
      <x:c r="M37" s="2" t="n">
        <x:f>G37+H37-L37-I37</x:f>
        <x:v>5</x:v>
      </x:c>
      <x:c r="N37" s="2" t="n">
        <x:f>F37-L37</x:f>
        <x:v>0</x:v>
      </x:c>
      <x:c r="O37" s="2" t="n">
        <x:f>N37-J37</x:f>
        <x:v>0</x:v>
      </x:c>
      <x:c r="P37" s="2" t="n">
        <x:f>L37+I37</x:f>
        <x:v>32</x:v>
      </x:c>
      <x:c r="Q37" s="8" t="n">
        <x:f>P37*E37</x:f>
        <x:v>96</x:v>
      </x:c>
      <x:c r="R37" s="8" t="n">
        <x:f>I37*E37</x:f>
        <x:v>0</x:v>
      </x:c>
      <x:c r="S37" s="8" t="n">
        <x:f>O37*E37</x:f>
        <x:v>0</x:v>
      </x:c>
      <x:c r="T37" s="2" t="str">
        <x:f>IF(A37&lt;DATE(2025,12,1),"",IF(D37="Closed",0,ROUND(AVERAGEIFS('Daily inputs'!$F$2:$F$367,'Daily inputs'!$B$2:$B$367,B37,'Daily inputs'!$C$2:$C$367,C37,'Daily inputs'!$D$2:$D$367,"Training"),0)))</x:f>
      </x:c>
      <x:c r="U37" s="2" t="str">
        <x:f>IF(A37&lt;DATE(2025,12,1),"",ROUND(T37*IF(D37="Christmas",Notes!$B$9,Notes!$B$8),0))</x:f>
      </x:c>
      <x:c r="V37" s="2" t="str">
        <x:f>IF(A37&lt;DATE(2025,12,1),"",ABS(T37-F37))</x:f>
      </x:c>
      <x:c r="W37" s="2" t="str">
        <x:f>IF(A37&lt;DATE(2025,12,1),"",ABS(U37-F37))</x:f>
      </x:c>
      <x:c r="X37" s="2" t="str">
        <x:f>IF(A37&lt;DATE(2025,12,1),"",T37-F37)</x:f>
      </x:c>
      <x:c r="Y37" s="2" t="str">
        <x:f>IF(A37&lt;DATE(2025,12,1),"",U37-F37)</x:f>
      </x:c>
      <x:c r="Z37" s="2" t="n">
        <x:f>IF(N37&gt;0,1,0)</x:f>
        <x:v>0</x:v>
      </x:c>
    </x:row>
    <x:row r="38" ht="21" customHeight="1">
      <x:c r="A38" s="6" t="n">
        <x:f>'Daily inputs'!A38</x:f>
        <x:v>45968</x:v>
      </x:c>
      <x:c r="B38" s="2" t="str">
        <x:f>'Daily inputs'!B38</x:f>
        <x:v>I01</x:v>
      </x:c>
      <x:c r="C38" s="2" t="n">
        <x:f>'Daily inputs'!C38</x:f>
        <x:v>5</x:v>
      </x:c>
      <x:c r="D38" s="2" t="str">
        <x:f>'Daily inputs'!D38</x:f>
        <x:v>Training</x:v>
      </x:c>
      <x:c r="E38" s="7" t="n">
        <x:f>'Daily inputs'!E38</x:f>
        <x:v>8.5</x:v>
      </x:c>
      <x:c r="F38" s="2" t="n">
        <x:f>'Daily inputs'!F38</x:f>
        <x:v>88</x:v>
      </x:c>
      <x:c r="G38" s="2" t="n">
        <x:f>'Daily inputs'!G38</x:f>
        <x:v>11</x:v>
      </x:c>
      <x:c r="H38" s="2" t="n">
        <x:f>'Daily inputs'!H38</x:f>
        <x:v>90</x:v>
      </x:c>
      <x:c r="I38" s="2" t="n">
        <x:f>'Daily inputs'!I38</x:f>
        <x:v>0</x:v>
      </x:c>
      <x:c r="J38" s="2" t="n">
        <x:f>'Daily inputs'!J38</x:f>
        <x:v>0</x:v>
      </x:c>
      <x:c r="K38" s="2" t="n">
        <x:f>'Daily inputs'!K38</x:f>
        <x:v>0</x:v>
      </x:c>
      <x:c r="L38" s="2" t="n">
        <x:f>MIN(F38,G38+H38-I38)</x:f>
        <x:v>88</x:v>
      </x:c>
      <x:c r="M38" s="2" t="n">
        <x:f>G38+H38-L38-I38</x:f>
        <x:v>13</x:v>
      </x:c>
      <x:c r="N38" s="2" t="n">
        <x:f>F38-L38</x:f>
        <x:v>0</x:v>
      </x:c>
      <x:c r="O38" s="2" t="n">
        <x:f>N38-J38</x:f>
        <x:v>0</x:v>
      </x:c>
      <x:c r="P38" s="2" t="n">
        <x:f>L38+I38</x:f>
        <x:v>88</x:v>
      </x:c>
      <x:c r="Q38" s="8" t="n">
        <x:f>P38*E38</x:f>
        <x:v>748</x:v>
      </x:c>
      <x:c r="R38" s="8" t="n">
        <x:f>I38*E38</x:f>
        <x:v>0</x:v>
      </x:c>
      <x:c r="S38" s="8" t="n">
        <x:f>O38*E38</x:f>
        <x:v>0</x:v>
      </x:c>
      <x:c r="T38" s="2" t="str">
        <x:f>IF(A38&lt;DATE(2025,12,1),"",IF(D38="Closed",0,ROUND(AVERAGEIFS('Daily inputs'!$F$2:$F$367,'Daily inputs'!$B$2:$B$367,B38,'Daily inputs'!$C$2:$C$367,C38,'Daily inputs'!$D$2:$D$367,"Training"),0)))</x:f>
      </x:c>
      <x:c r="U38" s="2" t="str">
        <x:f>IF(A38&lt;DATE(2025,12,1),"",ROUND(T38*IF(D38="Christmas",Notes!$B$9,Notes!$B$8),0))</x:f>
      </x:c>
      <x:c r="V38" s="2" t="str">
        <x:f>IF(A38&lt;DATE(2025,12,1),"",ABS(T38-F38))</x:f>
      </x:c>
      <x:c r="W38" s="2" t="str">
        <x:f>IF(A38&lt;DATE(2025,12,1),"",ABS(U38-F38))</x:f>
      </x:c>
      <x:c r="X38" s="2" t="str">
        <x:f>IF(A38&lt;DATE(2025,12,1),"",T38-F38)</x:f>
      </x:c>
      <x:c r="Y38" s="2" t="str">
        <x:f>IF(A38&lt;DATE(2025,12,1),"",U38-F38)</x:f>
      </x:c>
      <x:c r="Z38" s="2" t="n">
        <x:f>IF(N38&gt;0,1,0)</x:f>
        <x:v>0</x:v>
      </x:c>
    </x:row>
    <x:row r="39" ht="21" customHeight="1">
      <x:c r="A39" s="6" t="n">
        <x:f>'Daily inputs'!A39</x:f>
        <x:v>45968</x:v>
      </x:c>
      <x:c r="B39" s="2" t="str">
        <x:f>'Daily inputs'!B39</x:f>
        <x:v>I02</x:v>
      </x:c>
      <x:c r="C39" s="2" t="n">
        <x:f>'Daily inputs'!C39</x:f>
        <x:v>5</x:v>
      </x:c>
      <x:c r="D39" s="2" t="str">
        <x:f>'Daily inputs'!D39</x:f>
        <x:v>Training</x:v>
      </x:c>
      <x:c r="E39" s="7" t="n">
        <x:f>'Daily inputs'!E39</x:f>
        <x:v>8</x:v>
      </x:c>
      <x:c r="F39" s="2" t="n">
        <x:f>'Daily inputs'!F39</x:f>
        <x:v>69</x:v>
      </x:c>
      <x:c r="G39" s="2" t="n">
        <x:f>'Daily inputs'!G39</x:f>
        <x:v>8</x:v>
      </x:c>
      <x:c r="H39" s="2" t="n">
        <x:f>'Daily inputs'!H39</x:f>
        <x:v>71</x:v>
      </x:c>
      <x:c r="I39" s="2" t="n">
        <x:f>'Daily inputs'!I39</x:f>
        <x:v>0</x:v>
      </x:c>
      <x:c r="J39" s="2" t="n">
        <x:f>'Daily inputs'!J39</x:f>
        <x:v>0</x:v>
      </x:c>
      <x:c r="K39" s="2" t="n">
        <x:f>'Daily inputs'!K39</x:f>
        <x:v>0</x:v>
      </x:c>
      <x:c r="L39" s="2" t="n">
        <x:f>MIN(F39,G39+H39-I39)</x:f>
        <x:v>69</x:v>
      </x:c>
      <x:c r="M39" s="2" t="n">
        <x:f>G39+H39-L39-I39</x:f>
        <x:v>10</x:v>
      </x:c>
      <x:c r="N39" s="2" t="n">
        <x:f>F39-L39</x:f>
        <x:v>0</x:v>
      </x:c>
      <x:c r="O39" s="2" t="n">
        <x:f>N39-J39</x:f>
        <x:v>0</x:v>
      </x:c>
      <x:c r="P39" s="2" t="n">
        <x:f>L39+I39</x:f>
        <x:v>69</x:v>
      </x:c>
      <x:c r="Q39" s="8" t="n">
        <x:f>P39*E39</x:f>
        <x:v>552</x:v>
      </x:c>
      <x:c r="R39" s="8" t="n">
        <x:f>I39*E39</x:f>
        <x:v>0</x:v>
      </x:c>
      <x:c r="S39" s="8" t="n">
        <x:f>O39*E39</x:f>
        <x:v>0</x:v>
      </x:c>
      <x:c r="T39" s="2" t="str">
        <x:f>IF(A39&lt;DATE(2025,12,1),"",IF(D39="Closed",0,ROUND(AVERAGEIFS('Daily inputs'!$F$2:$F$367,'Daily inputs'!$B$2:$B$367,B39,'Daily inputs'!$C$2:$C$367,C39,'Daily inputs'!$D$2:$D$367,"Training"),0)))</x:f>
      </x:c>
      <x:c r="U39" s="2" t="str">
        <x:f>IF(A39&lt;DATE(2025,12,1),"",ROUND(T39*IF(D39="Christmas",Notes!$B$9,Notes!$B$8),0))</x:f>
      </x:c>
      <x:c r="V39" s="2" t="str">
        <x:f>IF(A39&lt;DATE(2025,12,1),"",ABS(T39-F39))</x:f>
      </x:c>
      <x:c r="W39" s="2" t="str">
        <x:f>IF(A39&lt;DATE(2025,12,1),"",ABS(U39-F39))</x:f>
      </x:c>
      <x:c r="X39" s="2" t="str">
        <x:f>IF(A39&lt;DATE(2025,12,1),"",T39-F39)</x:f>
      </x:c>
      <x:c r="Y39" s="2" t="str">
        <x:f>IF(A39&lt;DATE(2025,12,1),"",U39-F39)</x:f>
      </x:c>
      <x:c r="Z39" s="2" t="n">
        <x:f>IF(N39&gt;0,1,0)</x:f>
        <x:v>0</x:v>
      </x:c>
    </x:row>
    <x:row r="40" ht="21" customHeight="1">
      <x:c r="A40" s="6" t="n">
        <x:f>'Daily inputs'!A40</x:f>
        <x:v>45968</x:v>
      </x:c>
      <x:c r="B40" s="2" t="str">
        <x:f>'Daily inputs'!B40</x:f>
        <x:v>I03</x:v>
      </x:c>
      <x:c r="C40" s="2" t="n">
        <x:f>'Daily inputs'!C40</x:f>
        <x:v>5</x:v>
      </x:c>
      <x:c r="D40" s="2" t="str">
        <x:f>'Daily inputs'!D40</x:f>
        <x:v>Training</x:v>
      </x:c>
      <x:c r="E40" s="7" t="n">
        <x:f>'Daily inputs'!E40</x:f>
        <x:v>7.5</x:v>
      </x:c>
      <x:c r="F40" s="2" t="n">
        <x:f>'Daily inputs'!F40</x:f>
        <x:v>41</x:v>
      </x:c>
      <x:c r="G40" s="2" t="n">
        <x:f>'Daily inputs'!G40</x:f>
        <x:v>5</x:v>
      </x:c>
      <x:c r="H40" s="2" t="n">
        <x:f>'Daily inputs'!H40</x:f>
        <x:v>42</x:v>
      </x:c>
      <x:c r="I40" s="2" t="n">
        <x:f>'Daily inputs'!I40</x:f>
        <x:v>0</x:v>
      </x:c>
      <x:c r="J40" s="2" t="n">
        <x:f>'Daily inputs'!J40</x:f>
        <x:v>0</x:v>
      </x:c>
      <x:c r="K40" s="2" t="n">
        <x:f>'Daily inputs'!K40</x:f>
        <x:v>0</x:v>
      </x:c>
      <x:c r="L40" s="2" t="n">
        <x:f>MIN(F40,G40+H40-I40)</x:f>
        <x:v>41</x:v>
      </x:c>
      <x:c r="M40" s="2" t="n">
        <x:f>G40+H40-L40-I40</x:f>
        <x:v>6</x:v>
      </x:c>
      <x:c r="N40" s="2" t="n">
        <x:f>F40-L40</x:f>
        <x:v>0</x:v>
      </x:c>
      <x:c r="O40" s="2" t="n">
        <x:f>N40-J40</x:f>
        <x:v>0</x:v>
      </x:c>
      <x:c r="P40" s="2" t="n">
        <x:f>L40+I40</x:f>
        <x:v>41</x:v>
      </x:c>
      <x:c r="Q40" s="8" t="n">
        <x:f>P40*E40</x:f>
        <x:v>307.5</x:v>
      </x:c>
      <x:c r="R40" s="8" t="n">
        <x:f>I40*E40</x:f>
        <x:v>0</x:v>
      </x:c>
      <x:c r="S40" s="8" t="n">
        <x:f>O40*E40</x:f>
        <x:v>0</x:v>
      </x:c>
      <x:c r="T40" s="2" t="str">
        <x:f>IF(A40&lt;DATE(2025,12,1),"",IF(D40="Closed",0,ROUND(AVERAGEIFS('Daily inputs'!$F$2:$F$367,'Daily inputs'!$B$2:$B$367,B40,'Daily inputs'!$C$2:$C$367,C40,'Daily inputs'!$D$2:$D$367,"Training"),0)))</x:f>
      </x:c>
      <x:c r="U40" s="2" t="str">
        <x:f>IF(A40&lt;DATE(2025,12,1),"",ROUND(T40*IF(D40="Christmas",Notes!$B$9,Notes!$B$8),0))</x:f>
      </x:c>
      <x:c r="V40" s="2" t="str">
        <x:f>IF(A40&lt;DATE(2025,12,1),"",ABS(T40-F40))</x:f>
      </x:c>
      <x:c r="W40" s="2" t="str">
        <x:f>IF(A40&lt;DATE(2025,12,1),"",ABS(U40-F40))</x:f>
      </x:c>
      <x:c r="X40" s="2" t="str">
        <x:f>IF(A40&lt;DATE(2025,12,1),"",T40-F40)</x:f>
      </x:c>
      <x:c r="Y40" s="2" t="str">
        <x:f>IF(A40&lt;DATE(2025,12,1),"",U40-F40)</x:f>
      </x:c>
      <x:c r="Z40" s="2" t="n">
        <x:f>IF(N40&gt;0,1,0)</x:f>
        <x:v>0</x:v>
      </x:c>
    </x:row>
    <x:row r="41" ht="21" customHeight="1">
      <x:c r="A41" s="6" t="n">
        <x:f>'Daily inputs'!A41</x:f>
        <x:v>45968</x:v>
      </x:c>
      <x:c r="B41" s="2" t="str">
        <x:f>'Daily inputs'!B41</x:f>
        <x:v>I04</x:v>
      </x:c>
      <x:c r="C41" s="2" t="n">
        <x:f>'Daily inputs'!C41</x:f>
        <x:v>5</x:v>
      </x:c>
      <x:c r="D41" s="2" t="str">
        <x:f>'Daily inputs'!D41</x:f>
        <x:v>Training</x:v>
      </x:c>
      <x:c r="E41" s="7" t="n">
        <x:f>'Daily inputs'!E41</x:f>
        <x:v>9</x:v>
      </x:c>
      <x:c r="F41" s="2" t="n">
        <x:f>'Daily inputs'!F41</x:f>
        <x:v>47</x:v>
      </x:c>
      <x:c r="G41" s="2" t="n">
        <x:f>'Daily inputs'!G41</x:f>
        <x:v>6</x:v>
      </x:c>
      <x:c r="H41" s="2" t="n">
        <x:f>'Daily inputs'!H41</x:f>
        <x:v>48</x:v>
      </x:c>
      <x:c r="I41" s="2" t="n">
        <x:f>'Daily inputs'!I41</x:f>
        <x:v>0</x:v>
      </x:c>
      <x:c r="J41" s="2" t="n">
        <x:f>'Daily inputs'!J41</x:f>
        <x:v>0</x:v>
      </x:c>
      <x:c r="K41" s="2" t="n">
        <x:f>'Daily inputs'!K41</x:f>
        <x:v>0</x:v>
      </x:c>
      <x:c r="L41" s="2" t="n">
        <x:f>MIN(F41,G41+H41-I41)</x:f>
        <x:v>47</x:v>
      </x:c>
      <x:c r="M41" s="2" t="n">
        <x:f>G41+H41-L41-I41</x:f>
        <x:v>7</x:v>
      </x:c>
      <x:c r="N41" s="2" t="n">
        <x:f>F41-L41</x:f>
        <x:v>0</x:v>
      </x:c>
      <x:c r="O41" s="2" t="n">
        <x:f>N41-J41</x:f>
        <x:v>0</x:v>
      </x:c>
      <x:c r="P41" s="2" t="n">
        <x:f>L41+I41</x:f>
        <x:v>47</x:v>
      </x:c>
      <x:c r="Q41" s="8" t="n">
        <x:f>P41*E41</x:f>
        <x:v>423</x:v>
      </x:c>
      <x:c r="R41" s="8" t="n">
        <x:f>I41*E41</x:f>
        <x:v>0</x:v>
      </x:c>
      <x:c r="S41" s="8" t="n">
        <x:f>O41*E41</x:f>
        <x:v>0</x:v>
      </x:c>
      <x:c r="T41" s="2" t="str">
        <x:f>IF(A41&lt;DATE(2025,12,1),"",IF(D41="Closed",0,ROUND(AVERAGEIFS('Daily inputs'!$F$2:$F$367,'Daily inputs'!$B$2:$B$367,B41,'Daily inputs'!$C$2:$C$367,C41,'Daily inputs'!$D$2:$D$367,"Training"),0)))</x:f>
      </x:c>
      <x:c r="U41" s="2" t="str">
        <x:f>IF(A41&lt;DATE(2025,12,1),"",ROUND(T41*IF(D41="Christmas",Notes!$B$9,Notes!$B$8),0))</x:f>
      </x:c>
      <x:c r="V41" s="2" t="str">
        <x:f>IF(A41&lt;DATE(2025,12,1),"",ABS(T41-F41))</x:f>
      </x:c>
      <x:c r="W41" s="2" t="str">
        <x:f>IF(A41&lt;DATE(2025,12,1),"",ABS(U41-F41))</x:f>
      </x:c>
      <x:c r="X41" s="2" t="str">
        <x:f>IF(A41&lt;DATE(2025,12,1),"",T41-F41)</x:f>
      </x:c>
      <x:c r="Y41" s="2" t="str">
        <x:f>IF(A41&lt;DATE(2025,12,1),"",U41-F41)</x:f>
      </x:c>
      <x:c r="Z41" s="2" t="n">
        <x:f>IF(N41&gt;0,1,0)</x:f>
        <x:v>0</x:v>
      </x:c>
    </x:row>
    <x:row r="42" ht="21" customHeight="1">
      <x:c r="A42" s="6" t="n">
        <x:f>'Daily inputs'!A42</x:f>
        <x:v>45968</x:v>
      </x:c>
      <x:c r="B42" s="2" t="str">
        <x:f>'Daily inputs'!B42</x:f>
        <x:v>I05</x:v>
      </x:c>
      <x:c r="C42" s="2" t="n">
        <x:f>'Daily inputs'!C42</x:f>
        <x:v>5</x:v>
      </x:c>
      <x:c r="D42" s="2" t="str">
        <x:f>'Daily inputs'!D42</x:f>
        <x:v>Training</x:v>
      </x:c>
      <x:c r="E42" s="7" t="n">
        <x:f>'Daily inputs'!E42</x:f>
        <x:v>3.5</x:v>
      </x:c>
      <x:c r="F42" s="2" t="n">
        <x:f>'Daily inputs'!F42</x:f>
        <x:v>93</x:v>
      </x:c>
      <x:c r="G42" s="2" t="n">
        <x:f>'Daily inputs'!G42</x:f>
        <x:v>13</x:v>
      </x:c>
      <x:c r="H42" s="2" t="n">
        <x:f>'Daily inputs'!H42</x:f>
        <x:v>94</x:v>
      </x:c>
      <x:c r="I42" s="2" t="n">
        <x:f>'Daily inputs'!I42</x:f>
        <x:v>0</x:v>
      </x:c>
      <x:c r="J42" s="2" t="n">
        <x:f>'Daily inputs'!J42</x:f>
        <x:v>0</x:v>
      </x:c>
      <x:c r="K42" s="2" t="n">
        <x:f>'Daily inputs'!K42</x:f>
        <x:v>0</x:v>
      </x:c>
      <x:c r="L42" s="2" t="n">
        <x:f>MIN(F42,G42+H42-I42)</x:f>
        <x:v>93</x:v>
      </x:c>
      <x:c r="M42" s="2" t="n">
        <x:f>G42+H42-L42-I42</x:f>
        <x:v>14</x:v>
      </x:c>
      <x:c r="N42" s="2" t="n">
        <x:f>F42-L42</x:f>
        <x:v>0</x:v>
      </x:c>
      <x:c r="O42" s="2" t="n">
        <x:f>N42-J42</x:f>
        <x:v>0</x:v>
      </x:c>
      <x:c r="P42" s="2" t="n">
        <x:f>L42+I42</x:f>
        <x:v>93</x:v>
      </x:c>
      <x:c r="Q42" s="8" t="n">
        <x:f>P42*E42</x:f>
        <x:v>325.5</x:v>
      </x:c>
      <x:c r="R42" s="8" t="n">
        <x:f>I42*E42</x:f>
        <x:v>0</x:v>
      </x:c>
      <x:c r="S42" s="8" t="n">
        <x:f>O42*E42</x:f>
        <x:v>0</x:v>
      </x:c>
      <x:c r="T42" s="2" t="str">
        <x:f>IF(A42&lt;DATE(2025,12,1),"",IF(D42="Closed",0,ROUND(AVERAGEIFS('Daily inputs'!$F$2:$F$367,'Daily inputs'!$B$2:$B$367,B42,'Daily inputs'!$C$2:$C$367,C42,'Daily inputs'!$D$2:$D$367,"Training"),0)))</x:f>
      </x:c>
      <x:c r="U42" s="2" t="str">
        <x:f>IF(A42&lt;DATE(2025,12,1),"",ROUND(T42*IF(D42="Christmas",Notes!$B$9,Notes!$B$8),0))</x:f>
      </x:c>
      <x:c r="V42" s="2" t="str">
        <x:f>IF(A42&lt;DATE(2025,12,1),"",ABS(T42-F42))</x:f>
      </x:c>
      <x:c r="W42" s="2" t="str">
        <x:f>IF(A42&lt;DATE(2025,12,1),"",ABS(U42-F42))</x:f>
      </x:c>
      <x:c r="X42" s="2" t="str">
        <x:f>IF(A42&lt;DATE(2025,12,1),"",T42-F42)</x:f>
      </x:c>
      <x:c r="Y42" s="2" t="str">
        <x:f>IF(A42&lt;DATE(2025,12,1),"",U42-F42)</x:f>
      </x:c>
      <x:c r="Z42" s="2" t="n">
        <x:f>IF(N42&gt;0,1,0)</x:f>
        <x:v>0</x:v>
      </x:c>
    </x:row>
    <x:row r="43" ht="21" customHeight="1">
      <x:c r="A43" s="6" t="n">
        <x:f>'Daily inputs'!A43</x:f>
        <x:v>45968</x:v>
      </x:c>
      <x:c r="B43" s="2" t="str">
        <x:f>'Daily inputs'!B43</x:f>
        <x:v>I06</x:v>
      </x:c>
      <x:c r="C43" s="2" t="n">
        <x:f>'Daily inputs'!C43</x:f>
        <x:v>5</x:v>
      </x:c>
      <x:c r="D43" s="2" t="str">
        <x:f>'Daily inputs'!D43</x:f>
        <x:v>Training</x:v>
      </x:c>
      <x:c r="E43" s="7" t="n">
        <x:f>'Daily inputs'!E43</x:f>
        <x:v>3</x:v>
      </x:c>
      <x:c r="F43" s="2" t="n">
        <x:f>'Daily inputs'!F43</x:f>
        <x:v>37</x:v>
      </x:c>
      <x:c r="G43" s="2" t="n">
        <x:f>'Daily inputs'!G43</x:f>
        <x:v>5</x:v>
      </x:c>
      <x:c r="H43" s="2" t="n">
        <x:f>'Daily inputs'!H43</x:f>
        <x:v>38</x:v>
      </x:c>
      <x:c r="I43" s="2" t="n">
        <x:f>'Daily inputs'!I43</x:f>
        <x:v>0</x:v>
      </x:c>
      <x:c r="J43" s="2" t="n">
        <x:f>'Daily inputs'!J43</x:f>
        <x:v>0</x:v>
      </x:c>
      <x:c r="K43" s="2" t="n">
        <x:f>'Daily inputs'!K43</x:f>
        <x:v>0</x:v>
      </x:c>
      <x:c r="L43" s="2" t="n">
        <x:f>MIN(F43,G43+H43-I43)</x:f>
        <x:v>37</x:v>
      </x:c>
      <x:c r="M43" s="2" t="n">
        <x:f>G43+H43-L43-I43</x:f>
        <x:v>6</x:v>
      </x:c>
      <x:c r="N43" s="2" t="n">
        <x:f>F43-L43</x:f>
        <x:v>0</x:v>
      </x:c>
      <x:c r="O43" s="2" t="n">
        <x:f>N43-J43</x:f>
        <x:v>0</x:v>
      </x:c>
      <x:c r="P43" s="2" t="n">
        <x:f>L43+I43</x:f>
        <x:v>37</x:v>
      </x:c>
      <x:c r="Q43" s="8" t="n">
        <x:f>P43*E43</x:f>
        <x:v>111</x:v>
      </x:c>
      <x:c r="R43" s="8" t="n">
        <x:f>I43*E43</x:f>
        <x:v>0</x:v>
      </x:c>
      <x:c r="S43" s="8" t="n">
        <x:f>O43*E43</x:f>
        <x:v>0</x:v>
      </x:c>
      <x:c r="T43" s="2" t="str">
        <x:f>IF(A43&lt;DATE(2025,12,1),"",IF(D43="Closed",0,ROUND(AVERAGEIFS('Daily inputs'!$F$2:$F$367,'Daily inputs'!$B$2:$B$367,B43,'Daily inputs'!$C$2:$C$367,C43,'Daily inputs'!$D$2:$D$367,"Training"),0)))</x:f>
      </x:c>
      <x:c r="U43" s="2" t="str">
        <x:f>IF(A43&lt;DATE(2025,12,1),"",ROUND(T43*IF(D43="Christmas",Notes!$B$9,Notes!$B$8),0))</x:f>
      </x:c>
      <x:c r="V43" s="2" t="str">
        <x:f>IF(A43&lt;DATE(2025,12,1),"",ABS(T43-F43))</x:f>
      </x:c>
      <x:c r="W43" s="2" t="str">
        <x:f>IF(A43&lt;DATE(2025,12,1),"",ABS(U43-F43))</x:f>
      </x:c>
      <x:c r="X43" s="2" t="str">
        <x:f>IF(A43&lt;DATE(2025,12,1),"",T43-F43)</x:f>
      </x:c>
      <x:c r="Y43" s="2" t="str">
        <x:f>IF(A43&lt;DATE(2025,12,1),"",U43-F43)</x:f>
      </x:c>
      <x:c r="Z43" s="2" t="n">
        <x:f>IF(N43&gt;0,1,0)</x:f>
        <x:v>0</x:v>
      </x:c>
    </x:row>
    <x:row r="44" ht="21" customHeight="1">
      <x:c r="A44" s="6" t="n">
        <x:f>'Daily inputs'!A44</x:f>
        <x:v>45969</x:v>
      </x:c>
      <x:c r="B44" s="2" t="str">
        <x:f>'Daily inputs'!B44</x:f>
        <x:v>I01</x:v>
      </x:c>
      <x:c r="C44" s="2" t="n">
        <x:f>'Daily inputs'!C44</x:f>
        <x:v>6</x:v>
      </x:c>
      <x:c r="D44" s="2" t="str">
        <x:f>'Daily inputs'!D44</x:f>
        <x:v>Training</x:v>
      </x:c>
      <x:c r="E44" s="7" t="n">
        <x:f>'Daily inputs'!E44</x:f>
        <x:v>8.5</x:v>
      </x:c>
      <x:c r="F44" s="2" t="n">
        <x:f>'Daily inputs'!F44</x:f>
        <x:v>92</x:v>
      </x:c>
      <x:c r="G44" s="2" t="n">
        <x:f>'Daily inputs'!G44</x:f>
        <x:v>13</x:v>
      </x:c>
      <x:c r="H44" s="2" t="n">
        <x:f>'Daily inputs'!H44</x:f>
        <x:v>93</x:v>
      </x:c>
      <x:c r="I44" s="2" t="n">
        <x:f>'Daily inputs'!I44</x:f>
        <x:v>0</x:v>
      </x:c>
      <x:c r="J44" s="2" t="n">
        <x:f>'Daily inputs'!J44</x:f>
        <x:v>0</x:v>
      </x:c>
      <x:c r="K44" s="2" t="n">
        <x:f>'Daily inputs'!K44</x:f>
        <x:v>0</x:v>
      </x:c>
      <x:c r="L44" s="2" t="n">
        <x:f>MIN(F44,G44+H44-I44)</x:f>
        <x:v>92</x:v>
      </x:c>
      <x:c r="M44" s="2" t="n">
        <x:f>G44+H44-L44-I44</x:f>
        <x:v>14</x:v>
      </x:c>
      <x:c r="N44" s="2" t="n">
        <x:f>F44-L44</x:f>
        <x:v>0</x:v>
      </x:c>
      <x:c r="O44" s="2" t="n">
        <x:f>N44-J44</x:f>
        <x:v>0</x:v>
      </x:c>
      <x:c r="P44" s="2" t="n">
        <x:f>L44+I44</x:f>
        <x:v>92</x:v>
      </x:c>
      <x:c r="Q44" s="8" t="n">
        <x:f>P44*E44</x:f>
        <x:v>782</x:v>
      </x:c>
      <x:c r="R44" s="8" t="n">
        <x:f>I44*E44</x:f>
        <x:v>0</x:v>
      </x:c>
      <x:c r="S44" s="8" t="n">
        <x:f>O44*E44</x:f>
        <x:v>0</x:v>
      </x:c>
      <x:c r="T44" s="2" t="str">
        <x:f>IF(A44&lt;DATE(2025,12,1),"",IF(D44="Closed",0,ROUND(AVERAGEIFS('Daily inputs'!$F$2:$F$367,'Daily inputs'!$B$2:$B$367,B44,'Daily inputs'!$C$2:$C$367,C44,'Daily inputs'!$D$2:$D$367,"Training"),0)))</x:f>
      </x:c>
      <x:c r="U44" s="2" t="str">
        <x:f>IF(A44&lt;DATE(2025,12,1),"",ROUND(T44*IF(D44="Christmas",Notes!$B$9,Notes!$B$8),0))</x:f>
      </x:c>
      <x:c r="V44" s="2" t="str">
        <x:f>IF(A44&lt;DATE(2025,12,1),"",ABS(T44-F44))</x:f>
      </x:c>
      <x:c r="W44" s="2" t="str">
        <x:f>IF(A44&lt;DATE(2025,12,1),"",ABS(U44-F44))</x:f>
      </x:c>
      <x:c r="X44" s="2" t="str">
        <x:f>IF(A44&lt;DATE(2025,12,1),"",T44-F44)</x:f>
      </x:c>
      <x:c r="Y44" s="2" t="str">
        <x:f>IF(A44&lt;DATE(2025,12,1),"",U44-F44)</x:f>
      </x:c>
      <x:c r="Z44" s="2" t="n">
        <x:f>IF(N44&gt;0,1,0)</x:f>
        <x:v>0</x:v>
      </x:c>
    </x:row>
    <x:row r="45" ht="21" customHeight="1">
      <x:c r="A45" s="6" t="n">
        <x:f>'Daily inputs'!A45</x:f>
        <x:v>45969</x:v>
      </x:c>
      <x:c r="B45" s="2" t="str">
        <x:f>'Daily inputs'!B45</x:f>
        <x:v>I02</x:v>
      </x:c>
      <x:c r="C45" s="2" t="n">
        <x:f>'Daily inputs'!C45</x:f>
        <x:v>6</x:v>
      </x:c>
      <x:c r="D45" s="2" t="str">
        <x:f>'Daily inputs'!D45</x:f>
        <x:v>Training</x:v>
      </x:c>
      <x:c r="E45" s="7" t="n">
        <x:f>'Daily inputs'!E45</x:f>
        <x:v>8</x:v>
      </x:c>
      <x:c r="F45" s="2" t="n">
        <x:f>'Daily inputs'!F45</x:f>
        <x:v>79</x:v>
      </x:c>
      <x:c r="G45" s="2" t="n">
        <x:f>'Daily inputs'!G45</x:f>
        <x:v>10</x:v>
      </x:c>
      <x:c r="H45" s="2" t="n">
        <x:f>'Daily inputs'!H45</x:f>
        <x:v>81</x:v>
      </x:c>
      <x:c r="I45" s="2" t="n">
        <x:f>'Daily inputs'!I45</x:f>
        <x:v>0</x:v>
      </x:c>
      <x:c r="J45" s="2" t="n">
        <x:f>'Daily inputs'!J45</x:f>
        <x:v>0</x:v>
      </x:c>
      <x:c r="K45" s="2" t="n">
        <x:f>'Daily inputs'!K45</x:f>
        <x:v>0</x:v>
      </x:c>
      <x:c r="L45" s="2" t="n">
        <x:f>MIN(F45,G45+H45-I45)</x:f>
        <x:v>79</x:v>
      </x:c>
      <x:c r="M45" s="2" t="n">
        <x:f>G45+H45-L45-I45</x:f>
        <x:v>12</x:v>
      </x:c>
      <x:c r="N45" s="2" t="n">
        <x:f>F45-L45</x:f>
        <x:v>0</x:v>
      </x:c>
      <x:c r="O45" s="2" t="n">
        <x:f>N45-J45</x:f>
        <x:v>0</x:v>
      </x:c>
      <x:c r="P45" s="2" t="n">
        <x:f>L45+I45</x:f>
        <x:v>79</x:v>
      </x:c>
      <x:c r="Q45" s="8" t="n">
        <x:f>P45*E45</x:f>
        <x:v>632</x:v>
      </x:c>
      <x:c r="R45" s="8" t="n">
        <x:f>I45*E45</x:f>
        <x:v>0</x:v>
      </x:c>
      <x:c r="S45" s="8" t="n">
        <x:f>O45*E45</x:f>
        <x:v>0</x:v>
      </x:c>
      <x:c r="T45" s="2" t="str">
        <x:f>IF(A45&lt;DATE(2025,12,1),"",IF(D45="Closed",0,ROUND(AVERAGEIFS('Daily inputs'!$F$2:$F$367,'Daily inputs'!$B$2:$B$367,B45,'Daily inputs'!$C$2:$C$367,C45,'Daily inputs'!$D$2:$D$367,"Training"),0)))</x:f>
      </x:c>
      <x:c r="U45" s="2" t="str">
        <x:f>IF(A45&lt;DATE(2025,12,1),"",ROUND(T45*IF(D45="Christmas",Notes!$B$9,Notes!$B$8),0))</x:f>
      </x:c>
      <x:c r="V45" s="2" t="str">
        <x:f>IF(A45&lt;DATE(2025,12,1),"",ABS(T45-F45))</x:f>
      </x:c>
      <x:c r="W45" s="2" t="str">
        <x:f>IF(A45&lt;DATE(2025,12,1),"",ABS(U45-F45))</x:f>
      </x:c>
      <x:c r="X45" s="2" t="str">
        <x:f>IF(A45&lt;DATE(2025,12,1),"",T45-F45)</x:f>
      </x:c>
      <x:c r="Y45" s="2" t="str">
        <x:f>IF(A45&lt;DATE(2025,12,1),"",U45-F45)</x:f>
      </x:c>
      <x:c r="Z45" s="2" t="n">
        <x:f>IF(N45&gt;0,1,0)</x:f>
        <x:v>0</x:v>
      </x:c>
    </x:row>
    <x:row r="46" ht="21" customHeight="1">
      <x:c r="A46" s="6" t="n">
        <x:f>'Daily inputs'!A46</x:f>
        <x:v>45969</x:v>
      </x:c>
      <x:c r="B46" s="2" t="str">
        <x:f>'Daily inputs'!B46</x:f>
        <x:v>I03</x:v>
      </x:c>
      <x:c r="C46" s="2" t="n">
        <x:f>'Daily inputs'!C46</x:f>
        <x:v>6</x:v>
      </x:c>
      <x:c r="D46" s="2" t="str">
        <x:f>'Daily inputs'!D46</x:f>
        <x:v>Training</x:v>
      </x:c>
      <x:c r="E46" s="7" t="n">
        <x:f>'Daily inputs'!E46</x:f>
        <x:v>7.5</x:v>
      </x:c>
      <x:c r="F46" s="2" t="n">
        <x:f>'Daily inputs'!F46</x:f>
        <x:v>46</x:v>
      </x:c>
      <x:c r="G46" s="2" t="n">
        <x:f>'Daily inputs'!G46</x:f>
        <x:v>6</x:v>
      </x:c>
      <x:c r="H46" s="2" t="n">
        <x:f>'Daily inputs'!H46</x:f>
        <x:v>47</x:v>
      </x:c>
      <x:c r="I46" s="2" t="n">
        <x:f>'Daily inputs'!I46</x:f>
        <x:v>0</x:v>
      </x:c>
      <x:c r="J46" s="2" t="n">
        <x:f>'Daily inputs'!J46</x:f>
        <x:v>0</x:v>
      </x:c>
      <x:c r="K46" s="2" t="n">
        <x:f>'Daily inputs'!K46</x:f>
        <x:v>0</x:v>
      </x:c>
      <x:c r="L46" s="2" t="n">
        <x:f>MIN(F46,G46+H46-I46)</x:f>
        <x:v>46</x:v>
      </x:c>
      <x:c r="M46" s="2" t="n">
        <x:f>G46+H46-L46-I46</x:f>
        <x:v>7</x:v>
      </x:c>
      <x:c r="N46" s="2" t="n">
        <x:f>F46-L46</x:f>
        <x:v>0</x:v>
      </x:c>
      <x:c r="O46" s="2" t="n">
        <x:f>N46-J46</x:f>
        <x:v>0</x:v>
      </x:c>
      <x:c r="P46" s="2" t="n">
        <x:f>L46+I46</x:f>
        <x:v>46</x:v>
      </x:c>
      <x:c r="Q46" s="8" t="n">
        <x:f>P46*E46</x:f>
        <x:v>345</x:v>
      </x:c>
      <x:c r="R46" s="8" t="n">
        <x:f>I46*E46</x:f>
        <x:v>0</x:v>
      </x:c>
      <x:c r="S46" s="8" t="n">
        <x:f>O46*E46</x:f>
        <x:v>0</x:v>
      </x:c>
      <x:c r="T46" s="2" t="str">
        <x:f>IF(A46&lt;DATE(2025,12,1),"",IF(D46="Closed",0,ROUND(AVERAGEIFS('Daily inputs'!$F$2:$F$367,'Daily inputs'!$B$2:$B$367,B46,'Daily inputs'!$C$2:$C$367,C46,'Daily inputs'!$D$2:$D$367,"Training"),0)))</x:f>
      </x:c>
      <x:c r="U46" s="2" t="str">
        <x:f>IF(A46&lt;DATE(2025,12,1),"",ROUND(T46*IF(D46="Christmas",Notes!$B$9,Notes!$B$8),0))</x:f>
      </x:c>
      <x:c r="V46" s="2" t="str">
        <x:f>IF(A46&lt;DATE(2025,12,1),"",ABS(T46-F46))</x:f>
      </x:c>
      <x:c r="W46" s="2" t="str">
        <x:f>IF(A46&lt;DATE(2025,12,1),"",ABS(U46-F46))</x:f>
      </x:c>
      <x:c r="X46" s="2" t="str">
        <x:f>IF(A46&lt;DATE(2025,12,1),"",T46-F46)</x:f>
      </x:c>
      <x:c r="Y46" s="2" t="str">
        <x:f>IF(A46&lt;DATE(2025,12,1),"",U46-F46)</x:f>
      </x:c>
      <x:c r="Z46" s="2" t="n">
        <x:f>IF(N46&gt;0,1,0)</x:f>
        <x:v>0</x:v>
      </x:c>
    </x:row>
    <x:row r="47" ht="21" customHeight="1">
      <x:c r="A47" s="6" t="n">
        <x:f>'Daily inputs'!A47</x:f>
        <x:v>45969</x:v>
      </x:c>
      <x:c r="B47" s="2" t="str">
        <x:f>'Daily inputs'!B47</x:f>
        <x:v>I04</x:v>
      </x:c>
      <x:c r="C47" s="2" t="n">
        <x:f>'Daily inputs'!C47</x:f>
        <x:v>6</x:v>
      </x:c>
      <x:c r="D47" s="2" t="str">
        <x:f>'Daily inputs'!D47</x:f>
        <x:v>Training</x:v>
      </x:c>
      <x:c r="E47" s="7" t="n">
        <x:f>'Daily inputs'!E47</x:f>
        <x:v>9</x:v>
      </x:c>
      <x:c r="F47" s="2" t="n">
        <x:f>'Daily inputs'!F47</x:f>
        <x:v>51</x:v>
      </x:c>
      <x:c r="G47" s="2" t="n">
        <x:f>'Daily inputs'!G47</x:f>
        <x:v>7</x:v>
      </x:c>
      <x:c r="H47" s="2" t="n">
        <x:f>'Daily inputs'!H47</x:f>
        <x:v>52</x:v>
      </x:c>
      <x:c r="I47" s="2" t="n">
        <x:f>'Daily inputs'!I47</x:f>
        <x:v>0</x:v>
      </x:c>
      <x:c r="J47" s="2" t="n">
        <x:f>'Daily inputs'!J47</x:f>
        <x:v>0</x:v>
      </x:c>
      <x:c r="K47" s="2" t="n">
        <x:f>'Daily inputs'!K47</x:f>
        <x:v>0</x:v>
      </x:c>
      <x:c r="L47" s="2" t="n">
        <x:f>MIN(F47,G47+H47-I47)</x:f>
        <x:v>51</x:v>
      </x:c>
      <x:c r="M47" s="2" t="n">
        <x:f>G47+H47-L47-I47</x:f>
        <x:v>8</x:v>
      </x:c>
      <x:c r="N47" s="2" t="n">
        <x:f>F47-L47</x:f>
        <x:v>0</x:v>
      </x:c>
      <x:c r="O47" s="2" t="n">
        <x:f>N47-J47</x:f>
        <x:v>0</x:v>
      </x:c>
      <x:c r="P47" s="2" t="n">
        <x:f>L47+I47</x:f>
        <x:v>51</x:v>
      </x:c>
      <x:c r="Q47" s="8" t="n">
        <x:f>P47*E47</x:f>
        <x:v>459</x:v>
      </x:c>
      <x:c r="R47" s="8" t="n">
        <x:f>I47*E47</x:f>
        <x:v>0</x:v>
      </x:c>
      <x:c r="S47" s="8" t="n">
        <x:f>O47*E47</x:f>
        <x:v>0</x:v>
      </x:c>
      <x:c r="T47" s="2" t="str">
        <x:f>IF(A47&lt;DATE(2025,12,1),"",IF(D47="Closed",0,ROUND(AVERAGEIFS('Daily inputs'!$F$2:$F$367,'Daily inputs'!$B$2:$B$367,B47,'Daily inputs'!$C$2:$C$367,C47,'Daily inputs'!$D$2:$D$367,"Training"),0)))</x:f>
      </x:c>
      <x:c r="U47" s="2" t="str">
        <x:f>IF(A47&lt;DATE(2025,12,1),"",ROUND(T47*IF(D47="Christmas",Notes!$B$9,Notes!$B$8),0))</x:f>
      </x:c>
      <x:c r="V47" s="2" t="str">
        <x:f>IF(A47&lt;DATE(2025,12,1),"",ABS(T47-F47))</x:f>
      </x:c>
      <x:c r="W47" s="2" t="str">
        <x:f>IF(A47&lt;DATE(2025,12,1),"",ABS(U47-F47))</x:f>
      </x:c>
      <x:c r="X47" s="2" t="str">
        <x:f>IF(A47&lt;DATE(2025,12,1),"",T47-F47)</x:f>
      </x:c>
      <x:c r="Y47" s="2" t="str">
        <x:f>IF(A47&lt;DATE(2025,12,1),"",U47-F47)</x:f>
      </x:c>
      <x:c r="Z47" s="2" t="n">
        <x:f>IF(N47&gt;0,1,0)</x:f>
        <x:v>0</x:v>
      </x:c>
    </x:row>
    <x:row r="48" ht="21" customHeight="1">
      <x:c r="A48" s="6" t="n">
        <x:f>'Daily inputs'!A48</x:f>
        <x:v>45969</x:v>
      </x:c>
      <x:c r="B48" s="2" t="str">
        <x:f>'Daily inputs'!B48</x:f>
        <x:v>I05</x:v>
      </x:c>
      <x:c r="C48" s="2" t="n">
        <x:f>'Daily inputs'!C48</x:f>
        <x:v>6</x:v>
      </x:c>
      <x:c r="D48" s="2" t="str">
        <x:f>'Daily inputs'!D48</x:f>
        <x:v>Training</x:v>
      </x:c>
      <x:c r="E48" s="7" t="n">
        <x:f>'Daily inputs'!E48</x:f>
        <x:v>3.5</x:v>
      </x:c>
      <x:c r="F48" s="2" t="n">
        <x:f>'Daily inputs'!F48</x:f>
        <x:v>103</x:v>
      </x:c>
      <x:c r="G48" s="2" t="n">
        <x:f>'Daily inputs'!G48</x:f>
        <x:v>14</x:v>
      </x:c>
      <x:c r="H48" s="2" t="n">
        <x:f>'Daily inputs'!H48</x:f>
        <x:v>104</x:v>
      </x:c>
      <x:c r="I48" s="2" t="n">
        <x:f>'Daily inputs'!I48</x:f>
        <x:v>0</x:v>
      </x:c>
      <x:c r="J48" s="2" t="n">
        <x:f>'Daily inputs'!J48</x:f>
        <x:v>0</x:v>
      </x:c>
      <x:c r="K48" s="2" t="n">
        <x:f>'Daily inputs'!K48</x:f>
        <x:v>0</x:v>
      </x:c>
      <x:c r="L48" s="2" t="n">
        <x:f>MIN(F48,G48+H48-I48)</x:f>
        <x:v>103</x:v>
      </x:c>
      <x:c r="M48" s="2" t="n">
        <x:f>G48+H48-L48-I48</x:f>
        <x:v>15</x:v>
      </x:c>
      <x:c r="N48" s="2" t="n">
        <x:f>F48-L48</x:f>
        <x:v>0</x:v>
      </x:c>
      <x:c r="O48" s="2" t="n">
        <x:f>N48-J48</x:f>
        <x:v>0</x:v>
      </x:c>
      <x:c r="P48" s="2" t="n">
        <x:f>L48+I48</x:f>
        <x:v>103</x:v>
      </x:c>
      <x:c r="Q48" s="8" t="n">
        <x:f>P48*E48</x:f>
        <x:v>360.5</x:v>
      </x:c>
      <x:c r="R48" s="8" t="n">
        <x:f>I48*E48</x:f>
        <x:v>0</x:v>
      </x:c>
      <x:c r="S48" s="8" t="n">
        <x:f>O48*E48</x:f>
        <x:v>0</x:v>
      </x:c>
      <x:c r="T48" s="2" t="str">
        <x:f>IF(A48&lt;DATE(2025,12,1),"",IF(D48="Closed",0,ROUND(AVERAGEIFS('Daily inputs'!$F$2:$F$367,'Daily inputs'!$B$2:$B$367,B48,'Daily inputs'!$C$2:$C$367,C48,'Daily inputs'!$D$2:$D$367,"Training"),0)))</x:f>
      </x:c>
      <x:c r="U48" s="2" t="str">
        <x:f>IF(A48&lt;DATE(2025,12,1),"",ROUND(T48*IF(D48="Christmas",Notes!$B$9,Notes!$B$8),0))</x:f>
      </x:c>
      <x:c r="V48" s="2" t="str">
        <x:f>IF(A48&lt;DATE(2025,12,1),"",ABS(T48-F48))</x:f>
      </x:c>
      <x:c r="W48" s="2" t="str">
        <x:f>IF(A48&lt;DATE(2025,12,1),"",ABS(U48-F48))</x:f>
      </x:c>
      <x:c r="X48" s="2" t="str">
        <x:f>IF(A48&lt;DATE(2025,12,1),"",T48-F48)</x:f>
      </x:c>
      <x:c r="Y48" s="2" t="str">
        <x:f>IF(A48&lt;DATE(2025,12,1),"",U48-F48)</x:f>
      </x:c>
      <x:c r="Z48" s="2" t="n">
        <x:f>IF(N48&gt;0,1,0)</x:f>
        <x:v>0</x:v>
      </x:c>
    </x:row>
    <x:row r="49" ht="21" customHeight="1">
      <x:c r="A49" s="6" t="n">
        <x:f>'Daily inputs'!A49</x:f>
        <x:v>45969</x:v>
      </x:c>
      <x:c r="B49" s="2" t="str">
        <x:f>'Daily inputs'!B49</x:f>
        <x:v>I06</x:v>
      </x:c>
      <x:c r="C49" s="2" t="n">
        <x:f>'Daily inputs'!C49</x:f>
        <x:v>6</x:v>
      </x:c>
      <x:c r="D49" s="2" t="str">
        <x:f>'Daily inputs'!D49</x:f>
        <x:v>Training</x:v>
      </x:c>
      <x:c r="E49" s="7" t="n">
        <x:f>'Daily inputs'!E49</x:f>
        <x:v>3</x:v>
      </x:c>
      <x:c r="F49" s="2" t="n">
        <x:f>'Daily inputs'!F49</x:f>
        <x:v>39</x:v>
      </x:c>
      <x:c r="G49" s="2" t="n">
        <x:f>'Daily inputs'!G49</x:f>
        <x:v>6</x:v>
      </x:c>
      <x:c r="H49" s="2" t="n">
        <x:f>'Daily inputs'!H49</x:f>
        <x:v>39</x:v>
      </x:c>
      <x:c r="I49" s="2" t="n">
        <x:f>'Daily inputs'!I49</x:f>
        <x:v>0</x:v>
      </x:c>
      <x:c r="J49" s="2" t="n">
        <x:f>'Daily inputs'!J49</x:f>
        <x:v>0</x:v>
      </x:c>
      <x:c r="K49" s="2" t="n">
        <x:f>'Daily inputs'!K49</x:f>
        <x:v>0</x:v>
      </x:c>
      <x:c r="L49" s="2" t="n">
        <x:f>MIN(F49,G49+H49-I49)</x:f>
        <x:v>39</x:v>
      </x:c>
      <x:c r="M49" s="2" t="n">
        <x:f>G49+H49-L49-I49</x:f>
        <x:v>6</x:v>
      </x:c>
      <x:c r="N49" s="2" t="n">
        <x:f>F49-L49</x:f>
        <x:v>0</x:v>
      </x:c>
      <x:c r="O49" s="2" t="n">
        <x:f>N49-J49</x:f>
        <x:v>0</x:v>
      </x:c>
      <x:c r="P49" s="2" t="n">
        <x:f>L49+I49</x:f>
        <x:v>39</x:v>
      </x:c>
      <x:c r="Q49" s="8" t="n">
        <x:f>P49*E49</x:f>
        <x:v>117</x:v>
      </x:c>
      <x:c r="R49" s="8" t="n">
        <x:f>I49*E49</x:f>
        <x:v>0</x:v>
      </x:c>
      <x:c r="S49" s="8" t="n">
        <x:f>O49*E49</x:f>
        <x:v>0</x:v>
      </x:c>
      <x:c r="T49" s="2" t="str">
        <x:f>IF(A49&lt;DATE(2025,12,1),"",IF(D49="Closed",0,ROUND(AVERAGEIFS('Daily inputs'!$F$2:$F$367,'Daily inputs'!$B$2:$B$367,B49,'Daily inputs'!$C$2:$C$367,C49,'Daily inputs'!$D$2:$D$367,"Training"),0)))</x:f>
      </x:c>
      <x:c r="U49" s="2" t="str">
        <x:f>IF(A49&lt;DATE(2025,12,1),"",ROUND(T49*IF(D49="Christmas",Notes!$B$9,Notes!$B$8),0))</x:f>
      </x:c>
      <x:c r="V49" s="2" t="str">
        <x:f>IF(A49&lt;DATE(2025,12,1),"",ABS(T49-F49))</x:f>
      </x:c>
      <x:c r="W49" s="2" t="str">
        <x:f>IF(A49&lt;DATE(2025,12,1),"",ABS(U49-F49))</x:f>
      </x:c>
      <x:c r="X49" s="2" t="str">
        <x:f>IF(A49&lt;DATE(2025,12,1),"",T49-F49)</x:f>
      </x:c>
      <x:c r="Y49" s="2" t="str">
        <x:f>IF(A49&lt;DATE(2025,12,1),"",U49-F49)</x:f>
      </x:c>
      <x:c r="Z49" s="2" t="n">
        <x:f>IF(N49&gt;0,1,0)</x:f>
        <x:v>0</x:v>
      </x:c>
    </x:row>
    <x:row r="50" ht="21" customHeight="1">
      <x:c r="A50" s="6" t="n">
        <x:f>'Daily inputs'!A50</x:f>
        <x:v>45970</x:v>
      </x:c>
      <x:c r="B50" s="2" t="str">
        <x:f>'Daily inputs'!B50</x:f>
        <x:v>I01</x:v>
      </x:c>
      <x:c r="C50" s="2" t="n">
        <x:f>'Daily inputs'!C50</x:f>
        <x:v>7</x:v>
      </x:c>
      <x:c r="D50" s="2" t="str">
        <x:f>'Daily inputs'!D50</x:f>
        <x:v>Training</x:v>
      </x:c>
      <x:c r="E50" s="7" t="n">
        <x:f>'Daily inputs'!E50</x:f>
        <x:v>8.5</x:v>
      </x:c>
      <x:c r="F50" s="2" t="n">
        <x:f>'Daily inputs'!F50</x:f>
        <x:v>78</x:v>
      </x:c>
      <x:c r="G50" s="2" t="n">
        <x:f>'Daily inputs'!G50</x:f>
        <x:v>14</x:v>
      </x:c>
      <x:c r="H50" s="2" t="n">
        <x:f>'Daily inputs'!H50</x:f>
        <x:v>76</x:v>
      </x:c>
      <x:c r="I50" s="2" t="n">
        <x:f>'Daily inputs'!I50</x:f>
        <x:v>0</x:v>
      </x:c>
      <x:c r="J50" s="2" t="n">
        <x:f>'Daily inputs'!J50</x:f>
        <x:v>0</x:v>
      </x:c>
      <x:c r="K50" s="2" t="n">
        <x:f>'Daily inputs'!K50</x:f>
        <x:v>0</x:v>
      </x:c>
      <x:c r="L50" s="2" t="n">
        <x:f>MIN(F50,G50+H50-I50)</x:f>
        <x:v>78</x:v>
      </x:c>
      <x:c r="M50" s="2" t="n">
        <x:f>G50+H50-L50-I50</x:f>
        <x:v>12</x:v>
      </x:c>
      <x:c r="N50" s="2" t="n">
        <x:f>F50-L50</x:f>
        <x:v>0</x:v>
      </x:c>
      <x:c r="O50" s="2" t="n">
        <x:f>N50-J50</x:f>
        <x:v>0</x:v>
      </x:c>
      <x:c r="P50" s="2" t="n">
        <x:f>L50+I50</x:f>
        <x:v>78</x:v>
      </x:c>
      <x:c r="Q50" s="8" t="n">
        <x:f>P50*E50</x:f>
        <x:v>663</x:v>
      </x:c>
      <x:c r="R50" s="8" t="n">
        <x:f>I50*E50</x:f>
        <x:v>0</x:v>
      </x:c>
      <x:c r="S50" s="8" t="n">
        <x:f>O50*E50</x:f>
        <x:v>0</x:v>
      </x:c>
      <x:c r="T50" s="2" t="str">
        <x:f>IF(A50&lt;DATE(2025,12,1),"",IF(D50="Closed",0,ROUND(AVERAGEIFS('Daily inputs'!$F$2:$F$367,'Daily inputs'!$B$2:$B$367,B50,'Daily inputs'!$C$2:$C$367,C50,'Daily inputs'!$D$2:$D$367,"Training"),0)))</x:f>
      </x:c>
      <x:c r="U50" s="2" t="str">
        <x:f>IF(A50&lt;DATE(2025,12,1),"",ROUND(T50*IF(D50="Christmas",Notes!$B$9,Notes!$B$8),0))</x:f>
      </x:c>
      <x:c r="V50" s="2" t="str">
        <x:f>IF(A50&lt;DATE(2025,12,1),"",ABS(T50-F50))</x:f>
      </x:c>
      <x:c r="W50" s="2" t="str">
        <x:f>IF(A50&lt;DATE(2025,12,1),"",ABS(U50-F50))</x:f>
      </x:c>
      <x:c r="X50" s="2" t="str">
        <x:f>IF(A50&lt;DATE(2025,12,1),"",T50-F50)</x:f>
      </x:c>
      <x:c r="Y50" s="2" t="str">
        <x:f>IF(A50&lt;DATE(2025,12,1),"",U50-F50)</x:f>
      </x:c>
      <x:c r="Z50" s="2" t="n">
        <x:f>IF(N50&gt;0,1,0)</x:f>
        <x:v>0</x:v>
      </x:c>
    </x:row>
    <x:row r="51" ht="21" customHeight="1">
      <x:c r="A51" s="6" t="n">
        <x:f>'Daily inputs'!A51</x:f>
        <x:v>45970</x:v>
      </x:c>
      <x:c r="B51" s="2" t="str">
        <x:f>'Daily inputs'!B51</x:f>
        <x:v>I02</x:v>
      </x:c>
      <x:c r="C51" s="2" t="n">
        <x:f>'Daily inputs'!C51</x:f>
        <x:v>7</x:v>
      </x:c>
      <x:c r="D51" s="2" t="str">
        <x:f>'Daily inputs'!D51</x:f>
        <x:v>Training</x:v>
      </x:c>
      <x:c r="E51" s="7" t="n">
        <x:f>'Daily inputs'!E51</x:f>
        <x:v>8</x:v>
      </x:c>
      <x:c r="F51" s="2" t="n">
        <x:f>'Daily inputs'!F51</x:f>
        <x:v>65</x:v>
      </x:c>
      <x:c r="G51" s="2" t="n">
        <x:f>'Daily inputs'!G51</x:f>
        <x:v>12</x:v>
      </x:c>
      <x:c r="H51" s="2" t="n">
        <x:f>'Daily inputs'!H51</x:f>
        <x:v>63</x:v>
      </x:c>
      <x:c r="I51" s="2" t="n">
        <x:f>'Daily inputs'!I51</x:f>
        <x:v>0</x:v>
      </x:c>
      <x:c r="J51" s="2" t="n">
        <x:f>'Daily inputs'!J51</x:f>
        <x:v>0</x:v>
      </x:c>
      <x:c r="K51" s="2" t="n">
        <x:f>'Daily inputs'!K51</x:f>
        <x:v>0</x:v>
      </x:c>
      <x:c r="L51" s="2" t="n">
        <x:f>MIN(F51,G51+H51-I51)</x:f>
        <x:v>65</x:v>
      </x:c>
      <x:c r="M51" s="2" t="n">
        <x:f>G51+H51-L51-I51</x:f>
        <x:v>10</x:v>
      </x:c>
      <x:c r="N51" s="2" t="n">
        <x:f>F51-L51</x:f>
        <x:v>0</x:v>
      </x:c>
      <x:c r="O51" s="2" t="n">
        <x:f>N51-J51</x:f>
        <x:v>0</x:v>
      </x:c>
      <x:c r="P51" s="2" t="n">
        <x:f>L51+I51</x:f>
        <x:v>65</x:v>
      </x:c>
      <x:c r="Q51" s="8" t="n">
        <x:f>P51*E51</x:f>
        <x:v>520</x:v>
      </x:c>
      <x:c r="R51" s="8" t="n">
        <x:f>I51*E51</x:f>
        <x:v>0</x:v>
      </x:c>
      <x:c r="S51" s="8" t="n">
        <x:f>O51*E51</x:f>
        <x:v>0</x:v>
      </x:c>
      <x:c r="T51" s="2" t="str">
        <x:f>IF(A51&lt;DATE(2025,12,1),"",IF(D51="Closed",0,ROUND(AVERAGEIFS('Daily inputs'!$F$2:$F$367,'Daily inputs'!$B$2:$B$367,B51,'Daily inputs'!$C$2:$C$367,C51,'Daily inputs'!$D$2:$D$367,"Training"),0)))</x:f>
      </x:c>
      <x:c r="U51" s="2" t="str">
        <x:f>IF(A51&lt;DATE(2025,12,1),"",ROUND(T51*IF(D51="Christmas",Notes!$B$9,Notes!$B$8),0))</x:f>
      </x:c>
      <x:c r="V51" s="2" t="str">
        <x:f>IF(A51&lt;DATE(2025,12,1),"",ABS(T51-F51))</x:f>
      </x:c>
      <x:c r="W51" s="2" t="str">
        <x:f>IF(A51&lt;DATE(2025,12,1),"",ABS(U51-F51))</x:f>
      </x:c>
      <x:c r="X51" s="2" t="str">
        <x:f>IF(A51&lt;DATE(2025,12,1),"",T51-F51)</x:f>
      </x:c>
      <x:c r="Y51" s="2" t="str">
        <x:f>IF(A51&lt;DATE(2025,12,1),"",U51-F51)</x:f>
      </x:c>
      <x:c r="Z51" s="2" t="n">
        <x:f>IF(N51&gt;0,1,0)</x:f>
        <x:v>0</x:v>
      </x:c>
    </x:row>
    <x:row r="52" ht="21" customHeight="1">
      <x:c r="A52" s="6" t="n">
        <x:f>'Daily inputs'!A52</x:f>
        <x:v>45970</x:v>
      </x:c>
      <x:c r="B52" s="2" t="str">
        <x:f>'Daily inputs'!B52</x:f>
        <x:v>I03</x:v>
      </x:c>
      <x:c r="C52" s="2" t="n">
        <x:f>'Daily inputs'!C52</x:f>
        <x:v>7</x:v>
      </x:c>
      <x:c r="D52" s="2" t="str">
        <x:f>'Daily inputs'!D52</x:f>
        <x:v>Training</x:v>
      </x:c>
      <x:c r="E52" s="7" t="n">
        <x:f>'Daily inputs'!E52</x:f>
        <x:v>7.5</x:v>
      </x:c>
      <x:c r="F52" s="2" t="n">
        <x:f>'Daily inputs'!F52</x:f>
        <x:v>36</x:v>
      </x:c>
      <x:c r="G52" s="2" t="n">
        <x:f>'Daily inputs'!G52</x:f>
        <x:v>7</x:v>
      </x:c>
      <x:c r="H52" s="2" t="n">
        <x:f>'Daily inputs'!H52</x:f>
        <x:v>34</x:v>
      </x:c>
      <x:c r="I52" s="2" t="n">
        <x:f>'Daily inputs'!I52</x:f>
        <x:v>0</x:v>
      </x:c>
      <x:c r="J52" s="2" t="n">
        <x:f>'Daily inputs'!J52</x:f>
        <x:v>0</x:v>
      </x:c>
      <x:c r="K52" s="2" t="n">
        <x:f>'Daily inputs'!K52</x:f>
        <x:v>0</x:v>
      </x:c>
      <x:c r="L52" s="2" t="n">
        <x:f>MIN(F52,G52+H52-I52)</x:f>
        <x:v>36</x:v>
      </x:c>
      <x:c r="M52" s="2" t="n">
        <x:f>G52+H52-L52-I52</x:f>
        <x:v>5</x:v>
      </x:c>
      <x:c r="N52" s="2" t="n">
        <x:f>F52-L52</x:f>
        <x:v>0</x:v>
      </x:c>
      <x:c r="O52" s="2" t="n">
        <x:f>N52-J52</x:f>
        <x:v>0</x:v>
      </x:c>
      <x:c r="P52" s="2" t="n">
        <x:f>L52+I52</x:f>
        <x:v>36</x:v>
      </x:c>
      <x:c r="Q52" s="8" t="n">
        <x:f>P52*E52</x:f>
        <x:v>270</x:v>
      </x:c>
      <x:c r="R52" s="8" t="n">
        <x:f>I52*E52</x:f>
        <x:v>0</x:v>
      </x:c>
      <x:c r="S52" s="8" t="n">
        <x:f>O52*E52</x:f>
        <x:v>0</x:v>
      </x:c>
      <x:c r="T52" s="2" t="str">
        <x:f>IF(A52&lt;DATE(2025,12,1),"",IF(D52="Closed",0,ROUND(AVERAGEIFS('Daily inputs'!$F$2:$F$367,'Daily inputs'!$B$2:$B$367,B52,'Daily inputs'!$C$2:$C$367,C52,'Daily inputs'!$D$2:$D$367,"Training"),0)))</x:f>
      </x:c>
      <x:c r="U52" s="2" t="str">
        <x:f>IF(A52&lt;DATE(2025,12,1),"",ROUND(T52*IF(D52="Christmas",Notes!$B$9,Notes!$B$8),0))</x:f>
      </x:c>
      <x:c r="V52" s="2" t="str">
        <x:f>IF(A52&lt;DATE(2025,12,1),"",ABS(T52-F52))</x:f>
      </x:c>
      <x:c r="W52" s="2" t="str">
        <x:f>IF(A52&lt;DATE(2025,12,1),"",ABS(U52-F52))</x:f>
      </x:c>
      <x:c r="X52" s="2" t="str">
        <x:f>IF(A52&lt;DATE(2025,12,1),"",T52-F52)</x:f>
      </x:c>
      <x:c r="Y52" s="2" t="str">
        <x:f>IF(A52&lt;DATE(2025,12,1),"",U52-F52)</x:f>
      </x:c>
      <x:c r="Z52" s="2" t="n">
        <x:f>IF(N52&gt;0,1,0)</x:f>
        <x:v>0</x:v>
      </x:c>
    </x:row>
    <x:row r="53" ht="21" customHeight="1">
      <x:c r="A53" s="6" t="n">
        <x:f>'Daily inputs'!A53</x:f>
        <x:v>45970</x:v>
      </x:c>
      <x:c r="B53" s="2" t="str">
        <x:f>'Daily inputs'!B53</x:f>
        <x:v>I04</x:v>
      </x:c>
      <x:c r="C53" s="2" t="n">
        <x:f>'Daily inputs'!C53</x:f>
        <x:v>7</x:v>
      </x:c>
      <x:c r="D53" s="2" t="str">
        <x:f>'Daily inputs'!D53</x:f>
        <x:v>Training</x:v>
      </x:c>
      <x:c r="E53" s="7" t="n">
        <x:f>'Daily inputs'!E53</x:f>
        <x:v>9</x:v>
      </x:c>
      <x:c r="F53" s="2" t="n">
        <x:f>'Daily inputs'!F53</x:f>
        <x:v>42</x:v>
      </x:c>
      <x:c r="G53" s="2" t="n">
        <x:f>'Daily inputs'!G53</x:f>
        <x:v>8</x:v>
      </x:c>
      <x:c r="H53" s="2" t="n">
        <x:f>'Daily inputs'!H53</x:f>
        <x:v>40</x:v>
      </x:c>
      <x:c r="I53" s="2" t="n">
        <x:f>'Daily inputs'!I53</x:f>
        <x:v>0</x:v>
      </x:c>
      <x:c r="J53" s="2" t="n">
        <x:f>'Daily inputs'!J53</x:f>
        <x:v>0</x:v>
      </x:c>
      <x:c r="K53" s="2" t="n">
        <x:f>'Daily inputs'!K53</x:f>
        <x:v>0</x:v>
      </x:c>
      <x:c r="L53" s="2" t="n">
        <x:f>MIN(F53,G53+H53-I53)</x:f>
        <x:v>42</x:v>
      </x:c>
      <x:c r="M53" s="2" t="n">
        <x:f>G53+H53-L53-I53</x:f>
        <x:v>6</x:v>
      </x:c>
      <x:c r="N53" s="2" t="n">
        <x:f>F53-L53</x:f>
        <x:v>0</x:v>
      </x:c>
      <x:c r="O53" s="2" t="n">
        <x:f>N53-J53</x:f>
        <x:v>0</x:v>
      </x:c>
      <x:c r="P53" s="2" t="n">
        <x:f>L53+I53</x:f>
        <x:v>42</x:v>
      </x:c>
      <x:c r="Q53" s="8" t="n">
        <x:f>P53*E53</x:f>
        <x:v>378</x:v>
      </x:c>
      <x:c r="R53" s="8" t="n">
        <x:f>I53*E53</x:f>
        <x:v>0</x:v>
      </x:c>
      <x:c r="S53" s="8" t="n">
        <x:f>O53*E53</x:f>
        <x:v>0</x:v>
      </x:c>
      <x:c r="T53" s="2" t="str">
        <x:f>IF(A53&lt;DATE(2025,12,1),"",IF(D53="Closed",0,ROUND(AVERAGEIFS('Daily inputs'!$F$2:$F$367,'Daily inputs'!$B$2:$B$367,B53,'Daily inputs'!$C$2:$C$367,C53,'Daily inputs'!$D$2:$D$367,"Training"),0)))</x:f>
      </x:c>
      <x:c r="U53" s="2" t="str">
        <x:f>IF(A53&lt;DATE(2025,12,1),"",ROUND(T53*IF(D53="Christmas",Notes!$B$9,Notes!$B$8),0))</x:f>
      </x:c>
      <x:c r="V53" s="2" t="str">
        <x:f>IF(A53&lt;DATE(2025,12,1),"",ABS(T53-F53))</x:f>
      </x:c>
      <x:c r="W53" s="2" t="str">
        <x:f>IF(A53&lt;DATE(2025,12,1),"",ABS(U53-F53))</x:f>
      </x:c>
      <x:c r="X53" s="2" t="str">
        <x:f>IF(A53&lt;DATE(2025,12,1),"",T53-F53)</x:f>
      </x:c>
      <x:c r="Y53" s="2" t="str">
        <x:f>IF(A53&lt;DATE(2025,12,1),"",U53-F53)</x:f>
      </x:c>
      <x:c r="Z53" s="2" t="n">
        <x:f>IF(N53&gt;0,1,0)</x:f>
        <x:v>0</x:v>
      </x:c>
    </x:row>
    <x:row r="54" ht="21" customHeight="1">
      <x:c r="A54" s="6" t="n">
        <x:f>'Daily inputs'!A54</x:f>
        <x:v>45970</x:v>
      </x:c>
      <x:c r="B54" s="2" t="str">
        <x:f>'Daily inputs'!B54</x:f>
        <x:v>I05</x:v>
      </x:c>
      <x:c r="C54" s="2" t="n">
        <x:f>'Daily inputs'!C54</x:f>
        <x:v>7</x:v>
      </x:c>
      <x:c r="D54" s="2" t="str">
        <x:f>'Daily inputs'!D54</x:f>
        <x:v>Training</x:v>
      </x:c>
      <x:c r="E54" s="7" t="n">
        <x:f>'Daily inputs'!E54</x:f>
        <x:v>3.5</x:v>
      </x:c>
      <x:c r="F54" s="2" t="n">
        <x:f>'Daily inputs'!F54</x:f>
        <x:v>91</x:v>
      </x:c>
      <x:c r="G54" s="2" t="n">
        <x:f>'Daily inputs'!G54</x:f>
        <x:v>15</x:v>
      </x:c>
      <x:c r="H54" s="2" t="n">
        <x:f>'Daily inputs'!H54</x:f>
        <x:v>90</x:v>
      </x:c>
      <x:c r="I54" s="2" t="n">
        <x:f>'Daily inputs'!I54</x:f>
        <x:v>0</x:v>
      </x:c>
      <x:c r="J54" s="2" t="n">
        <x:f>'Daily inputs'!J54</x:f>
        <x:v>0</x:v>
      </x:c>
      <x:c r="K54" s="2" t="n">
        <x:f>'Daily inputs'!K54</x:f>
        <x:v>0</x:v>
      </x:c>
      <x:c r="L54" s="2" t="n">
        <x:f>MIN(F54,G54+H54-I54)</x:f>
        <x:v>91</x:v>
      </x:c>
      <x:c r="M54" s="2" t="n">
        <x:f>G54+H54-L54-I54</x:f>
        <x:v>14</x:v>
      </x:c>
      <x:c r="N54" s="2" t="n">
        <x:f>F54-L54</x:f>
        <x:v>0</x:v>
      </x:c>
      <x:c r="O54" s="2" t="n">
        <x:f>N54-J54</x:f>
        <x:v>0</x:v>
      </x:c>
      <x:c r="P54" s="2" t="n">
        <x:f>L54+I54</x:f>
        <x:v>91</x:v>
      </x:c>
      <x:c r="Q54" s="8" t="n">
        <x:f>P54*E54</x:f>
        <x:v>318.5</x:v>
      </x:c>
      <x:c r="R54" s="8" t="n">
        <x:f>I54*E54</x:f>
        <x:v>0</x:v>
      </x:c>
      <x:c r="S54" s="8" t="n">
        <x:f>O54*E54</x:f>
        <x:v>0</x:v>
      </x:c>
      <x:c r="T54" s="2" t="str">
        <x:f>IF(A54&lt;DATE(2025,12,1),"",IF(D54="Closed",0,ROUND(AVERAGEIFS('Daily inputs'!$F$2:$F$367,'Daily inputs'!$B$2:$B$367,B54,'Daily inputs'!$C$2:$C$367,C54,'Daily inputs'!$D$2:$D$367,"Training"),0)))</x:f>
      </x:c>
      <x:c r="U54" s="2" t="str">
        <x:f>IF(A54&lt;DATE(2025,12,1),"",ROUND(T54*IF(D54="Christmas",Notes!$B$9,Notes!$B$8),0))</x:f>
      </x:c>
      <x:c r="V54" s="2" t="str">
        <x:f>IF(A54&lt;DATE(2025,12,1),"",ABS(T54-F54))</x:f>
      </x:c>
      <x:c r="W54" s="2" t="str">
        <x:f>IF(A54&lt;DATE(2025,12,1),"",ABS(U54-F54))</x:f>
      </x:c>
      <x:c r="X54" s="2" t="str">
        <x:f>IF(A54&lt;DATE(2025,12,1),"",T54-F54)</x:f>
      </x:c>
      <x:c r="Y54" s="2" t="str">
        <x:f>IF(A54&lt;DATE(2025,12,1),"",U54-F54)</x:f>
      </x:c>
      <x:c r="Z54" s="2" t="n">
        <x:f>IF(N54&gt;0,1,0)</x:f>
        <x:v>0</x:v>
      </x:c>
    </x:row>
    <x:row r="55" ht="21" customHeight="1">
      <x:c r="A55" s="6" t="n">
        <x:f>'Daily inputs'!A55</x:f>
        <x:v>45970</x:v>
      </x:c>
      <x:c r="B55" s="2" t="str">
        <x:f>'Daily inputs'!B55</x:f>
        <x:v>I06</x:v>
      </x:c>
      <x:c r="C55" s="2" t="n">
        <x:f>'Daily inputs'!C55</x:f>
        <x:v>7</x:v>
      </x:c>
      <x:c r="D55" s="2" t="str">
        <x:f>'Daily inputs'!D55</x:f>
        <x:v>Training</x:v>
      </x:c>
      <x:c r="E55" s="7" t="n">
        <x:f>'Daily inputs'!E55</x:f>
        <x:v>3</x:v>
      </x:c>
      <x:c r="F55" s="2" t="n">
        <x:f>'Daily inputs'!F55</x:f>
        <x:v>35</x:v>
      </x:c>
      <x:c r="G55" s="2" t="n">
        <x:f>'Daily inputs'!G55</x:f>
        <x:v>6</x:v>
      </x:c>
      <x:c r="H55" s="2" t="n">
        <x:f>'Daily inputs'!H55</x:f>
        <x:v>34</x:v>
      </x:c>
      <x:c r="I55" s="2" t="n">
        <x:f>'Daily inputs'!I55</x:f>
        <x:v>0</x:v>
      </x:c>
      <x:c r="J55" s="2" t="n">
        <x:f>'Daily inputs'!J55</x:f>
        <x:v>0</x:v>
      </x:c>
      <x:c r="K55" s="2" t="n">
        <x:f>'Daily inputs'!K55</x:f>
        <x:v>0</x:v>
      </x:c>
      <x:c r="L55" s="2" t="n">
        <x:f>MIN(F55,G55+H55-I55)</x:f>
        <x:v>35</x:v>
      </x:c>
      <x:c r="M55" s="2" t="n">
        <x:f>G55+H55-L55-I55</x:f>
        <x:v>5</x:v>
      </x:c>
      <x:c r="N55" s="2" t="n">
        <x:f>F55-L55</x:f>
        <x:v>0</x:v>
      </x:c>
      <x:c r="O55" s="2" t="n">
        <x:f>N55-J55</x:f>
        <x:v>0</x:v>
      </x:c>
      <x:c r="P55" s="2" t="n">
        <x:f>L55+I55</x:f>
        <x:v>35</x:v>
      </x:c>
      <x:c r="Q55" s="8" t="n">
        <x:f>P55*E55</x:f>
        <x:v>105</x:v>
      </x:c>
      <x:c r="R55" s="8" t="n">
        <x:f>I55*E55</x:f>
        <x:v>0</x:v>
      </x:c>
      <x:c r="S55" s="8" t="n">
        <x:f>O55*E55</x:f>
        <x:v>0</x:v>
      </x:c>
      <x:c r="T55" s="2" t="str">
        <x:f>IF(A55&lt;DATE(2025,12,1),"",IF(D55="Closed",0,ROUND(AVERAGEIFS('Daily inputs'!$F$2:$F$367,'Daily inputs'!$B$2:$B$367,B55,'Daily inputs'!$C$2:$C$367,C55,'Daily inputs'!$D$2:$D$367,"Training"),0)))</x:f>
      </x:c>
      <x:c r="U55" s="2" t="str">
        <x:f>IF(A55&lt;DATE(2025,12,1),"",ROUND(T55*IF(D55="Christmas",Notes!$B$9,Notes!$B$8),0))</x:f>
      </x:c>
      <x:c r="V55" s="2" t="str">
        <x:f>IF(A55&lt;DATE(2025,12,1),"",ABS(T55-F55))</x:f>
      </x:c>
      <x:c r="W55" s="2" t="str">
        <x:f>IF(A55&lt;DATE(2025,12,1),"",ABS(U55-F55))</x:f>
      </x:c>
      <x:c r="X55" s="2" t="str">
        <x:f>IF(A55&lt;DATE(2025,12,1),"",T55-F55)</x:f>
      </x:c>
      <x:c r="Y55" s="2" t="str">
        <x:f>IF(A55&lt;DATE(2025,12,1),"",U55-F55)</x:f>
      </x:c>
      <x:c r="Z55" s="2" t="n">
        <x:f>IF(N55&gt;0,1,0)</x:f>
        <x:v>0</x:v>
      </x:c>
    </x:row>
    <x:row r="56" ht="21" customHeight="1">
      <x:c r="A56" s="6" t="n">
        <x:f>'Daily inputs'!A56</x:f>
        <x:v>45971</x:v>
      </x:c>
      <x:c r="B56" s="2" t="str">
        <x:f>'Daily inputs'!B56</x:f>
        <x:v>I01</x:v>
      </x:c>
      <x:c r="C56" s="2" t="n">
        <x:f>'Daily inputs'!C56</x:f>
        <x:v>1</x:v>
      </x:c>
      <x:c r="D56" s="2" t="str">
        <x:f>'Daily inputs'!D56</x:f>
        <x:v>Training</x:v>
      </x:c>
      <x:c r="E56" s="7" t="n">
        <x:f>'Daily inputs'!E56</x:f>
        <x:v>8.5</x:v>
      </x:c>
      <x:c r="F56" s="2" t="n">
        <x:f>'Daily inputs'!F56</x:f>
        <x:v>58</x:v>
      </x:c>
      <x:c r="G56" s="2" t="n">
        <x:f>'Daily inputs'!G56</x:f>
        <x:v>12</x:v>
      </x:c>
      <x:c r="H56" s="2" t="n">
        <x:f>'Daily inputs'!H56</x:f>
        <x:v>55</x:v>
      </x:c>
      <x:c r="I56" s="2" t="n">
        <x:f>'Daily inputs'!I56</x:f>
        <x:v>0</x:v>
      </x:c>
      <x:c r="J56" s="2" t="n">
        <x:f>'Daily inputs'!J56</x:f>
        <x:v>0</x:v>
      </x:c>
      <x:c r="K56" s="2" t="n">
        <x:f>'Daily inputs'!K56</x:f>
        <x:v>0</x:v>
      </x:c>
      <x:c r="L56" s="2" t="n">
        <x:f>MIN(F56,G56+H56-I56)</x:f>
        <x:v>58</x:v>
      </x:c>
      <x:c r="M56" s="2" t="n">
        <x:f>G56+H56-L56-I56</x:f>
        <x:v>9</x:v>
      </x:c>
      <x:c r="N56" s="2" t="n">
        <x:f>F56-L56</x:f>
        <x:v>0</x:v>
      </x:c>
      <x:c r="O56" s="2" t="n">
        <x:f>N56-J56</x:f>
        <x:v>0</x:v>
      </x:c>
      <x:c r="P56" s="2" t="n">
        <x:f>L56+I56</x:f>
        <x:v>58</x:v>
      </x:c>
      <x:c r="Q56" s="8" t="n">
        <x:f>P56*E56</x:f>
        <x:v>493</x:v>
      </x:c>
      <x:c r="R56" s="8" t="n">
        <x:f>I56*E56</x:f>
        <x:v>0</x:v>
      </x:c>
      <x:c r="S56" s="8" t="n">
        <x:f>O56*E56</x:f>
        <x:v>0</x:v>
      </x:c>
      <x:c r="T56" s="2" t="str">
        <x:f>IF(A56&lt;DATE(2025,12,1),"",IF(D56="Closed",0,ROUND(AVERAGEIFS('Daily inputs'!$F$2:$F$367,'Daily inputs'!$B$2:$B$367,B56,'Daily inputs'!$C$2:$C$367,C56,'Daily inputs'!$D$2:$D$367,"Training"),0)))</x:f>
      </x:c>
      <x:c r="U56" s="2" t="str">
        <x:f>IF(A56&lt;DATE(2025,12,1),"",ROUND(T56*IF(D56="Christmas",Notes!$B$9,Notes!$B$8),0))</x:f>
      </x:c>
      <x:c r="V56" s="2" t="str">
        <x:f>IF(A56&lt;DATE(2025,12,1),"",ABS(T56-F56))</x:f>
      </x:c>
      <x:c r="W56" s="2" t="str">
        <x:f>IF(A56&lt;DATE(2025,12,1),"",ABS(U56-F56))</x:f>
      </x:c>
      <x:c r="X56" s="2" t="str">
        <x:f>IF(A56&lt;DATE(2025,12,1),"",T56-F56)</x:f>
      </x:c>
      <x:c r="Y56" s="2" t="str">
        <x:f>IF(A56&lt;DATE(2025,12,1),"",U56-F56)</x:f>
      </x:c>
      <x:c r="Z56" s="2" t="n">
        <x:f>IF(N56&gt;0,1,0)</x:f>
        <x:v>0</x:v>
      </x:c>
    </x:row>
    <x:row r="57" ht="21" customHeight="1">
      <x:c r="A57" s="6" t="n">
        <x:f>'Daily inputs'!A57</x:f>
        <x:v>45971</x:v>
      </x:c>
      <x:c r="B57" s="2" t="str">
        <x:f>'Daily inputs'!B57</x:f>
        <x:v>I02</x:v>
      </x:c>
      <x:c r="C57" s="2" t="n">
        <x:f>'Daily inputs'!C57</x:f>
        <x:v>1</x:v>
      </x:c>
      <x:c r="D57" s="2" t="str">
        <x:f>'Daily inputs'!D57</x:f>
        <x:v>Training</x:v>
      </x:c>
      <x:c r="E57" s="7" t="n">
        <x:f>'Daily inputs'!E57</x:f>
        <x:v>8</x:v>
      </x:c>
      <x:c r="F57" s="2" t="n">
        <x:f>'Daily inputs'!F57</x:f>
        <x:v>49</x:v>
      </x:c>
      <x:c r="G57" s="2" t="n">
        <x:f>'Daily inputs'!G57</x:f>
        <x:v>10</x:v>
      </x:c>
      <x:c r="H57" s="2" t="n">
        <x:f>'Daily inputs'!H57</x:f>
        <x:v>46</x:v>
      </x:c>
      <x:c r="I57" s="2" t="n">
        <x:f>'Daily inputs'!I57</x:f>
        <x:v>0</x:v>
      </x:c>
      <x:c r="J57" s="2" t="n">
        <x:f>'Daily inputs'!J57</x:f>
        <x:v>0</x:v>
      </x:c>
      <x:c r="K57" s="2" t="n">
        <x:f>'Daily inputs'!K57</x:f>
        <x:v>0</x:v>
      </x:c>
      <x:c r="L57" s="2" t="n">
        <x:f>MIN(F57,G57+H57-I57)</x:f>
        <x:v>49</x:v>
      </x:c>
      <x:c r="M57" s="2" t="n">
        <x:f>G57+H57-L57-I57</x:f>
        <x:v>7</x:v>
      </x:c>
      <x:c r="N57" s="2" t="n">
        <x:f>F57-L57</x:f>
        <x:v>0</x:v>
      </x:c>
      <x:c r="O57" s="2" t="n">
        <x:f>N57-J57</x:f>
        <x:v>0</x:v>
      </x:c>
      <x:c r="P57" s="2" t="n">
        <x:f>L57+I57</x:f>
        <x:v>49</x:v>
      </x:c>
      <x:c r="Q57" s="8" t="n">
        <x:f>P57*E57</x:f>
        <x:v>392</x:v>
      </x:c>
      <x:c r="R57" s="8" t="n">
        <x:f>I57*E57</x:f>
        <x:v>0</x:v>
      </x:c>
      <x:c r="S57" s="8" t="n">
        <x:f>O57*E57</x:f>
        <x:v>0</x:v>
      </x:c>
      <x:c r="T57" s="2" t="str">
        <x:f>IF(A57&lt;DATE(2025,12,1),"",IF(D57="Closed",0,ROUND(AVERAGEIFS('Daily inputs'!$F$2:$F$367,'Daily inputs'!$B$2:$B$367,B57,'Daily inputs'!$C$2:$C$367,C57,'Daily inputs'!$D$2:$D$367,"Training"),0)))</x:f>
      </x:c>
      <x:c r="U57" s="2" t="str">
        <x:f>IF(A57&lt;DATE(2025,12,1),"",ROUND(T57*IF(D57="Christmas",Notes!$B$9,Notes!$B$8),0))</x:f>
      </x:c>
      <x:c r="V57" s="2" t="str">
        <x:f>IF(A57&lt;DATE(2025,12,1),"",ABS(T57-F57))</x:f>
      </x:c>
      <x:c r="W57" s="2" t="str">
        <x:f>IF(A57&lt;DATE(2025,12,1),"",ABS(U57-F57))</x:f>
      </x:c>
      <x:c r="X57" s="2" t="str">
        <x:f>IF(A57&lt;DATE(2025,12,1),"",T57-F57)</x:f>
      </x:c>
      <x:c r="Y57" s="2" t="str">
        <x:f>IF(A57&lt;DATE(2025,12,1),"",U57-F57)</x:f>
      </x:c>
      <x:c r="Z57" s="2" t="n">
        <x:f>IF(N57&gt;0,1,0)</x:f>
        <x:v>0</x:v>
      </x:c>
    </x:row>
    <x:row r="58" ht="21" customHeight="1">
      <x:c r="A58" s="6" t="n">
        <x:f>'Daily inputs'!A58</x:f>
        <x:v>45971</x:v>
      </x:c>
      <x:c r="B58" s="2" t="str">
        <x:f>'Daily inputs'!B58</x:f>
        <x:v>I03</x:v>
      </x:c>
      <x:c r="C58" s="2" t="n">
        <x:f>'Daily inputs'!C58</x:f>
        <x:v>1</x:v>
      </x:c>
      <x:c r="D58" s="2" t="str">
        <x:f>'Daily inputs'!D58</x:f>
        <x:v>Training</x:v>
      </x:c>
      <x:c r="E58" s="7" t="n">
        <x:f>'Daily inputs'!E58</x:f>
        <x:v>7.5</x:v>
      </x:c>
      <x:c r="F58" s="2" t="n">
        <x:f>'Daily inputs'!F58</x:f>
        <x:v>29</x:v>
      </x:c>
      <x:c r="G58" s="2" t="n">
        <x:f>'Daily inputs'!G58</x:f>
        <x:v>5</x:v>
      </x:c>
      <x:c r="H58" s="2" t="n">
        <x:f>'Daily inputs'!H58</x:f>
        <x:v>28</x:v>
      </x:c>
      <x:c r="I58" s="2" t="n">
        <x:f>'Daily inputs'!I58</x:f>
        <x:v>0</x:v>
      </x:c>
      <x:c r="J58" s="2" t="n">
        <x:f>'Daily inputs'!J58</x:f>
        <x:v>0</x:v>
      </x:c>
      <x:c r="K58" s="2" t="n">
        <x:f>'Daily inputs'!K58</x:f>
        <x:v>0</x:v>
      </x:c>
      <x:c r="L58" s="2" t="n">
        <x:f>MIN(F58,G58+H58-I58)</x:f>
        <x:v>29</x:v>
      </x:c>
      <x:c r="M58" s="2" t="n">
        <x:f>G58+H58-L58-I58</x:f>
        <x:v>4</x:v>
      </x:c>
      <x:c r="N58" s="2" t="n">
        <x:f>F58-L58</x:f>
        <x:v>0</x:v>
      </x:c>
      <x:c r="O58" s="2" t="n">
        <x:f>N58-J58</x:f>
        <x:v>0</x:v>
      </x:c>
      <x:c r="P58" s="2" t="n">
        <x:f>L58+I58</x:f>
        <x:v>29</x:v>
      </x:c>
      <x:c r="Q58" s="8" t="n">
        <x:f>P58*E58</x:f>
        <x:v>217.5</x:v>
      </x:c>
      <x:c r="R58" s="8" t="n">
        <x:f>I58*E58</x:f>
        <x:v>0</x:v>
      </x:c>
      <x:c r="S58" s="8" t="n">
        <x:f>O58*E58</x:f>
        <x:v>0</x:v>
      </x:c>
      <x:c r="T58" s="2" t="str">
        <x:f>IF(A58&lt;DATE(2025,12,1),"",IF(D58="Closed",0,ROUND(AVERAGEIFS('Daily inputs'!$F$2:$F$367,'Daily inputs'!$B$2:$B$367,B58,'Daily inputs'!$C$2:$C$367,C58,'Daily inputs'!$D$2:$D$367,"Training"),0)))</x:f>
      </x:c>
      <x:c r="U58" s="2" t="str">
        <x:f>IF(A58&lt;DATE(2025,12,1),"",ROUND(T58*IF(D58="Christmas",Notes!$B$9,Notes!$B$8),0))</x:f>
      </x:c>
      <x:c r="V58" s="2" t="str">
        <x:f>IF(A58&lt;DATE(2025,12,1),"",ABS(T58-F58))</x:f>
      </x:c>
      <x:c r="W58" s="2" t="str">
        <x:f>IF(A58&lt;DATE(2025,12,1),"",ABS(U58-F58))</x:f>
      </x:c>
      <x:c r="X58" s="2" t="str">
        <x:f>IF(A58&lt;DATE(2025,12,1),"",T58-F58)</x:f>
      </x:c>
      <x:c r="Y58" s="2" t="str">
        <x:f>IF(A58&lt;DATE(2025,12,1),"",U58-F58)</x:f>
      </x:c>
      <x:c r="Z58" s="2" t="n">
        <x:f>IF(N58&gt;0,1,0)</x:f>
        <x:v>0</x:v>
      </x:c>
    </x:row>
    <x:row r="59" ht="21" customHeight="1">
      <x:c r="A59" s="6" t="n">
        <x:f>'Daily inputs'!A59</x:f>
        <x:v>45971</x:v>
      </x:c>
      <x:c r="B59" s="2" t="str">
        <x:f>'Daily inputs'!B59</x:f>
        <x:v>I04</x:v>
      </x:c>
      <x:c r="C59" s="2" t="n">
        <x:f>'Daily inputs'!C59</x:f>
        <x:v>1</x:v>
      </x:c>
      <x:c r="D59" s="2" t="str">
        <x:f>'Daily inputs'!D59</x:f>
        <x:v>Training</x:v>
      </x:c>
      <x:c r="E59" s="7" t="n">
        <x:f>'Daily inputs'!E59</x:f>
        <x:v>9</x:v>
      </x:c>
      <x:c r="F59" s="2" t="n">
        <x:f>'Daily inputs'!F59</x:f>
        <x:v>32</x:v>
      </x:c>
      <x:c r="G59" s="2" t="n">
        <x:f>'Daily inputs'!G59</x:f>
        <x:v>6</x:v>
      </x:c>
      <x:c r="H59" s="2" t="n">
        <x:f>'Daily inputs'!H59</x:f>
        <x:v>31</x:v>
      </x:c>
      <x:c r="I59" s="2" t="n">
        <x:f>'Daily inputs'!I59</x:f>
        <x:v>0</x:v>
      </x:c>
      <x:c r="J59" s="2" t="n">
        <x:f>'Daily inputs'!J59</x:f>
        <x:v>0</x:v>
      </x:c>
      <x:c r="K59" s="2" t="n">
        <x:f>'Daily inputs'!K59</x:f>
        <x:v>0</x:v>
      </x:c>
      <x:c r="L59" s="2" t="n">
        <x:f>MIN(F59,G59+H59-I59)</x:f>
        <x:v>32</x:v>
      </x:c>
      <x:c r="M59" s="2" t="n">
        <x:f>G59+H59-L59-I59</x:f>
        <x:v>5</x:v>
      </x:c>
      <x:c r="N59" s="2" t="n">
        <x:f>F59-L59</x:f>
        <x:v>0</x:v>
      </x:c>
      <x:c r="O59" s="2" t="n">
        <x:f>N59-J59</x:f>
        <x:v>0</x:v>
      </x:c>
      <x:c r="P59" s="2" t="n">
        <x:f>L59+I59</x:f>
        <x:v>32</x:v>
      </x:c>
      <x:c r="Q59" s="8" t="n">
        <x:f>P59*E59</x:f>
        <x:v>288</x:v>
      </x:c>
      <x:c r="R59" s="8" t="n">
        <x:f>I59*E59</x:f>
        <x:v>0</x:v>
      </x:c>
      <x:c r="S59" s="8" t="n">
        <x:f>O59*E59</x:f>
        <x:v>0</x:v>
      </x:c>
      <x:c r="T59" s="2" t="str">
        <x:f>IF(A59&lt;DATE(2025,12,1),"",IF(D59="Closed",0,ROUND(AVERAGEIFS('Daily inputs'!$F$2:$F$367,'Daily inputs'!$B$2:$B$367,B59,'Daily inputs'!$C$2:$C$367,C59,'Daily inputs'!$D$2:$D$367,"Training"),0)))</x:f>
      </x:c>
      <x:c r="U59" s="2" t="str">
        <x:f>IF(A59&lt;DATE(2025,12,1),"",ROUND(T59*IF(D59="Christmas",Notes!$B$9,Notes!$B$8),0))</x:f>
      </x:c>
      <x:c r="V59" s="2" t="str">
        <x:f>IF(A59&lt;DATE(2025,12,1),"",ABS(T59-F59))</x:f>
      </x:c>
      <x:c r="W59" s="2" t="str">
        <x:f>IF(A59&lt;DATE(2025,12,1),"",ABS(U59-F59))</x:f>
      </x:c>
      <x:c r="X59" s="2" t="str">
        <x:f>IF(A59&lt;DATE(2025,12,1),"",T59-F59)</x:f>
      </x:c>
      <x:c r="Y59" s="2" t="str">
        <x:f>IF(A59&lt;DATE(2025,12,1),"",U59-F59)</x:f>
      </x:c>
      <x:c r="Z59" s="2" t="n">
        <x:f>IF(N59&gt;0,1,0)</x:f>
        <x:v>0</x:v>
      </x:c>
    </x:row>
    <x:row r="60" ht="21" customHeight="1">
      <x:c r="A60" s="6" t="n">
        <x:f>'Daily inputs'!A60</x:f>
        <x:v>45971</x:v>
      </x:c>
      <x:c r="B60" s="2" t="str">
        <x:f>'Daily inputs'!B60</x:f>
        <x:v>I05</x:v>
      </x:c>
      <x:c r="C60" s="2" t="n">
        <x:f>'Daily inputs'!C60</x:f>
        <x:v>1</x:v>
      </x:c>
      <x:c r="D60" s="2" t="str">
        <x:f>'Daily inputs'!D60</x:f>
        <x:v>Training</x:v>
      </x:c>
      <x:c r="E60" s="7" t="n">
        <x:f>'Daily inputs'!E60</x:f>
        <x:v>3.5</x:v>
      </x:c>
      <x:c r="F60" s="2" t="n">
        <x:f>'Daily inputs'!F60</x:f>
        <x:v>69</x:v>
      </x:c>
      <x:c r="G60" s="2" t="n">
        <x:f>'Daily inputs'!G60</x:f>
        <x:v>14</x:v>
      </x:c>
      <x:c r="H60" s="2" t="n">
        <x:f>'Daily inputs'!H60</x:f>
        <x:v>65</x:v>
      </x:c>
      <x:c r="I60" s="2" t="n">
        <x:f>'Daily inputs'!I60</x:f>
        <x:v>0</x:v>
      </x:c>
      <x:c r="J60" s="2" t="n">
        <x:f>'Daily inputs'!J60</x:f>
        <x:v>0</x:v>
      </x:c>
      <x:c r="K60" s="2" t="n">
        <x:f>'Daily inputs'!K60</x:f>
        <x:v>0</x:v>
      </x:c>
      <x:c r="L60" s="2" t="n">
        <x:f>MIN(F60,G60+H60-I60)</x:f>
        <x:v>69</x:v>
      </x:c>
      <x:c r="M60" s="2" t="n">
        <x:f>G60+H60-L60-I60</x:f>
        <x:v>10</x:v>
      </x:c>
      <x:c r="N60" s="2" t="n">
        <x:f>F60-L60</x:f>
        <x:v>0</x:v>
      </x:c>
      <x:c r="O60" s="2" t="n">
        <x:f>N60-J60</x:f>
        <x:v>0</x:v>
      </x:c>
      <x:c r="P60" s="2" t="n">
        <x:f>L60+I60</x:f>
        <x:v>69</x:v>
      </x:c>
      <x:c r="Q60" s="8" t="n">
        <x:f>P60*E60</x:f>
        <x:v>241.5</x:v>
      </x:c>
      <x:c r="R60" s="8" t="n">
        <x:f>I60*E60</x:f>
        <x:v>0</x:v>
      </x:c>
      <x:c r="S60" s="8" t="n">
        <x:f>O60*E60</x:f>
        <x:v>0</x:v>
      </x:c>
      <x:c r="T60" s="2" t="str">
        <x:f>IF(A60&lt;DATE(2025,12,1),"",IF(D60="Closed",0,ROUND(AVERAGEIFS('Daily inputs'!$F$2:$F$367,'Daily inputs'!$B$2:$B$367,B60,'Daily inputs'!$C$2:$C$367,C60,'Daily inputs'!$D$2:$D$367,"Training"),0)))</x:f>
      </x:c>
      <x:c r="U60" s="2" t="str">
        <x:f>IF(A60&lt;DATE(2025,12,1),"",ROUND(T60*IF(D60="Christmas",Notes!$B$9,Notes!$B$8),0))</x:f>
      </x:c>
      <x:c r="V60" s="2" t="str">
        <x:f>IF(A60&lt;DATE(2025,12,1),"",ABS(T60-F60))</x:f>
      </x:c>
      <x:c r="W60" s="2" t="str">
        <x:f>IF(A60&lt;DATE(2025,12,1),"",ABS(U60-F60))</x:f>
      </x:c>
      <x:c r="X60" s="2" t="str">
        <x:f>IF(A60&lt;DATE(2025,12,1),"",T60-F60)</x:f>
      </x:c>
      <x:c r="Y60" s="2" t="str">
        <x:f>IF(A60&lt;DATE(2025,12,1),"",U60-F60)</x:f>
      </x:c>
      <x:c r="Z60" s="2" t="n">
        <x:f>IF(N60&gt;0,1,0)</x:f>
        <x:v>0</x:v>
      </x:c>
    </x:row>
    <x:row r="61" ht="21" customHeight="1">
      <x:c r="A61" s="6" t="n">
        <x:f>'Daily inputs'!A61</x:f>
        <x:v>45971</x:v>
      </x:c>
      <x:c r="B61" s="2" t="str">
        <x:f>'Daily inputs'!B61</x:f>
        <x:v>I06</x:v>
      </x:c>
      <x:c r="C61" s="2" t="n">
        <x:f>'Daily inputs'!C61</x:f>
        <x:v>1</x:v>
      </x:c>
      <x:c r="D61" s="2" t="str">
        <x:f>'Daily inputs'!D61</x:f>
        <x:v>Training</x:v>
      </x:c>
      <x:c r="E61" s="7" t="n">
        <x:f>'Daily inputs'!E61</x:f>
        <x:v>3</x:v>
      </x:c>
      <x:c r="F61" s="2" t="n">
        <x:f>'Daily inputs'!F61</x:f>
        <x:v>25</x:v>
      </x:c>
      <x:c r="G61" s="2" t="n">
        <x:f>'Daily inputs'!G61</x:f>
        <x:v>5</x:v>
      </x:c>
      <x:c r="H61" s="2" t="n">
        <x:f>'Daily inputs'!H61</x:f>
        <x:v>24</x:v>
      </x:c>
      <x:c r="I61" s="2" t="n">
        <x:f>'Daily inputs'!I61</x:f>
        <x:v>0</x:v>
      </x:c>
      <x:c r="J61" s="2" t="n">
        <x:f>'Daily inputs'!J61</x:f>
        <x:v>0</x:v>
      </x:c>
      <x:c r="K61" s="2" t="n">
        <x:f>'Daily inputs'!K61</x:f>
        <x:v>0</x:v>
      </x:c>
      <x:c r="L61" s="2" t="n">
        <x:f>MIN(F61,G61+H61-I61)</x:f>
        <x:v>25</x:v>
      </x:c>
      <x:c r="M61" s="2" t="n">
        <x:f>G61+H61-L61-I61</x:f>
        <x:v>4</x:v>
      </x:c>
      <x:c r="N61" s="2" t="n">
        <x:f>F61-L61</x:f>
        <x:v>0</x:v>
      </x:c>
      <x:c r="O61" s="2" t="n">
        <x:f>N61-J61</x:f>
        <x:v>0</x:v>
      </x:c>
      <x:c r="P61" s="2" t="n">
        <x:f>L61+I61</x:f>
        <x:v>25</x:v>
      </x:c>
      <x:c r="Q61" s="8" t="n">
        <x:f>P61*E61</x:f>
        <x:v>75</x:v>
      </x:c>
      <x:c r="R61" s="8" t="n">
        <x:f>I61*E61</x:f>
        <x:v>0</x:v>
      </x:c>
      <x:c r="S61" s="8" t="n">
        <x:f>O61*E61</x:f>
        <x:v>0</x:v>
      </x:c>
      <x:c r="T61" s="2" t="str">
        <x:f>IF(A61&lt;DATE(2025,12,1),"",IF(D61="Closed",0,ROUND(AVERAGEIFS('Daily inputs'!$F$2:$F$367,'Daily inputs'!$B$2:$B$367,B61,'Daily inputs'!$C$2:$C$367,C61,'Daily inputs'!$D$2:$D$367,"Training"),0)))</x:f>
      </x:c>
      <x:c r="U61" s="2" t="str">
        <x:f>IF(A61&lt;DATE(2025,12,1),"",ROUND(T61*IF(D61="Christmas",Notes!$B$9,Notes!$B$8),0))</x:f>
      </x:c>
      <x:c r="V61" s="2" t="str">
        <x:f>IF(A61&lt;DATE(2025,12,1),"",ABS(T61-F61))</x:f>
      </x:c>
      <x:c r="W61" s="2" t="str">
        <x:f>IF(A61&lt;DATE(2025,12,1),"",ABS(U61-F61))</x:f>
      </x:c>
      <x:c r="X61" s="2" t="str">
        <x:f>IF(A61&lt;DATE(2025,12,1),"",T61-F61)</x:f>
      </x:c>
      <x:c r="Y61" s="2" t="str">
        <x:f>IF(A61&lt;DATE(2025,12,1),"",U61-F61)</x:f>
      </x:c>
      <x:c r="Z61" s="2" t="n">
        <x:f>IF(N61&gt;0,1,0)</x:f>
        <x:v>0</x:v>
      </x:c>
    </x:row>
    <x:row r="62" ht="21" customHeight="1">
      <x:c r="A62" s="6" t="n">
        <x:f>'Daily inputs'!A62</x:f>
        <x:v>45972</x:v>
      </x:c>
      <x:c r="B62" s="2" t="str">
        <x:f>'Daily inputs'!B62</x:f>
        <x:v>I01</x:v>
      </x:c>
      <x:c r="C62" s="2" t="n">
        <x:f>'Daily inputs'!C62</x:f>
        <x:v>2</x:v>
      </x:c>
      <x:c r="D62" s="2" t="str">
        <x:f>'Daily inputs'!D62</x:f>
        <x:v>Training</x:v>
      </x:c>
      <x:c r="E62" s="7" t="n">
        <x:f>'Daily inputs'!E62</x:f>
        <x:v>8.5</x:v>
      </x:c>
      <x:c r="F62" s="2" t="n">
        <x:f>'Daily inputs'!F62</x:f>
        <x:v>65</x:v>
      </x:c>
      <x:c r="G62" s="2" t="n">
        <x:f>'Daily inputs'!G62</x:f>
        <x:v>9</x:v>
      </x:c>
      <x:c r="H62" s="2" t="n">
        <x:f>'Daily inputs'!H62</x:f>
        <x:v>66</x:v>
      </x:c>
      <x:c r="I62" s="2" t="n">
        <x:f>'Daily inputs'!I62</x:f>
        <x:v>0</x:v>
      </x:c>
      <x:c r="J62" s="2" t="n">
        <x:f>'Daily inputs'!J62</x:f>
        <x:v>0</x:v>
      </x:c>
      <x:c r="K62" s="2" t="n">
        <x:f>'Daily inputs'!K62</x:f>
        <x:v>0</x:v>
      </x:c>
      <x:c r="L62" s="2" t="n">
        <x:f>MIN(F62,G62+H62-I62)</x:f>
        <x:v>65</x:v>
      </x:c>
      <x:c r="M62" s="2" t="n">
        <x:f>G62+H62-L62-I62</x:f>
        <x:v>10</x:v>
      </x:c>
      <x:c r="N62" s="2" t="n">
        <x:f>F62-L62</x:f>
        <x:v>0</x:v>
      </x:c>
      <x:c r="O62" s="2" t="n">
        <x:f>N62-J62</x:f>
        <x:v>0</x:v>
      </x:c>
      <x:c r="P62" s="2" t="n">
        <x:f>L62+I62</x:f>
        <x:v>65</x:v>
      </x:c>
      <x:c r="Q62" s="8" t="n">
        <x:f>P62*E62</x:f>
        <x:v>552.5</x:v>
      </x:c>
      <x:c r="R62" s="8" t="n">
        <x:f>I62*E62</x:f>
        <x:v>0</x:v>
      </x:c>
      <x:c r="S62" s="8" t="n">
        <x:f>O62*E62</x:f>
        <x:v>0</x:v>
      </x:c>
      <x:c r="T62" s="2" t="str">
        <x:f>IF(A62&lt;DATE(2025,12,1),"",IF(D62="Closed",0,ROUND(AVERAGEIFS('Daily inputs'!$F$2:$F$367,'Daily inputs'!$B$2:$B$367,B62,'Daily inputs'!$C$2:$C$367,C62,'Daily inputs'!$D$2:$D$367,"Training"),0)))</x:f>
      </x:c>
      <x:c r="U62" s="2" t="str">
        <x:f>IF(A62&lt;DATE(2025,12,1),"",ROUND(T62*IF(D62="Christmas",Notes!$B$9,Notes!$B$8),0))</x:f>
      </x:c>
      <x:c r="V62" s="2" t="str">
        <x:f>IF(A62&lt;DATE(2025,12,1),"",ABS(T62-F62))</x:f>
      </x:c>
      <x:c r="W62" s="2" t="str">
        <x:f>IF(A62&lt;DATE(2025,12,1),"",ABS(U62-F62))</x:f>
      </x:c>
      <x:c r="X62" s="2" t="str">
        <x:f>IF(A62&lt;DATE(2025,12,1),"",T62-F62)</x:f>
      </x:c>
      <x:c r="Y62" s="2" t="str">
        <x:f>IF(A62&lt;DATE(2025,12,1),"",U62-F62)</x:f>
      </x:c>
      <x:c r="Z62" s="2" t="n">
        <x:f>IF(N62&gt;0,1,0)</x:f>
        <x:v>0</x:v>
      </x:c>
    </x:row>
    <x:row r="63" ht="21" customHeight="1">
      <x:c r="A63" s="6" t="n">
        <x:f>'Daily inputs'!A63</x:f>
        <x:v>45972</x:v>
      </x:c>
      <x:c r="B63" s="2" t="str">
        <x:f>'Daily inputs'!B63</x:f>
        <x:v>I02</x:v>
      </x:c>
      <x:c r="C63" s="2" t="n">
        <x:f>'Daily inputs'!C63</x:f>
        <x:v>2</x:v>
      </x:c>
      <x:c r="D63" s="2" t="str">
        <x:f>'Daily inputs'!D63</x:f>
        <x:v>Training</x:v>
      </x:c>
      <x:c r="E63" s="7" t="n">
        <x:f>'Daily inputs'!E63</x:f>
        <x:v>8</x:v>
      </x:c>
      <x:c r="F63" s="2" t="n">
        <x:f>'Daily inputs'!F63</x:f>
        <x:v>54</x:v>
      </x:c>
      <x:c r="G63" s="2" t="n">
        <x:f>'Daily inputs'!G63</x:f>
        <x:v>7</x:v>
      </x:c>
      <x:c r="H63" s="2" t="n">
        <x:f>'Daily inputs'!H63</x:f>
        <x:v>55</x:v>
      </x:c>
      <x:c r="I63" s="2" t="n">
        <x:f>'Daily inputs'!I63</x:f>
        <x:v>0</x:v>
      </x:c>
      <x:c r="J63" s="2" t="n">
        <x:f>'Daily inputs'!J63</x:f>
        <x:v>0</x:v>
      </x:c>
      <x:c r="K63" s="2" t="n">
        <x:f>'Daily inputs'!K63</x:f>
        <x:v>0</x:v>
      </x:c>
      <x:c r="L63" s="2" t="n">
        <x:f>MIN(F63,G63+H63-I63)</x:f>
        <x:v>54</x:v>
      </x:c>
      <x:c r="M63" s="2" t="n">
        <x:f>G63+H63-L63-I63</x:f>
        <x:v>8</x:v>
      </x:c>
      <x:c r="N63" s="2" t="n">
        <x:f>F63-L63</x:f>
        <x:v>0</x:v>
      </x:c>
      <x:c r="O63" s="2" t="n">
        <x:f>N63-J63</x:f>
        <x:v>0</x:v>
      </x:c>
      <x:c r="P63" s="2" t="n">
        <x:f>L63+I63</x:f>
        <x:v>54</x:v>
      </x:c>
      <x:c r="Q63" s="8" t="n">
        <x:f>P63*E63</x:f>
        <x:v>432</x:v>
      </x:c>
      <x:c r="R63" s="8" t="n">
        <x:f>I63*E63</x:f>
        <x:v>0</x:v>
      </x:c>
      <x:c r="S63" s="8" t="n">
        <x:f>O63*E63</x:f>
        <x:v>0</x:v>
      </x:c>
      <x:c r="T63" s="2" t="str">
        <x:f>IF(A63&lt;DATE(2025,12,1),"",IF(D63="Closed",0,ROUND(AVERAGEIFS('Daily inputs'!$F$2:$F$367,'Daily inputs'!$B$2:$B$367,B63,'Daily inputs'!$C$2:$C$367,C63,'Daily inputs'!$D$2:$D$367,"Training"),0)))</x:f>
      </x:c>
      <x:c r="U63" s="2" t="str">
        <x:f>IF(A63&lt;DATE(2025,12,1),"",ROUND(T63*IF(D63="Christmas",Notes!$B$9,Notes!$B$8),0))</x:f>
      </x:c>
      <x:c r="V63" s="2" t="str">
        <x:f>IF(A63&lt;DATE(2025,12,1),"",ABS(T63-F63))</x:f>
      </x:c>
      <x:c r="W63" s="2" t="str">
        <x:f>IF(A63&lt;DATE(2025,12,1),"",ABS(U63-F63))</x:f>
      </x:c>
      <x:c r="X63" s="2" t="str">
        <x:f>IF(A63&lt;DATE(2025,12,1),"",T63-F63)</x:f>
      </x:c>
      <x:c r="Y63" s="2" t="str">
        <x:f>IF(A63&lt;DATE(2025,12,1),"",U63-F63)</x:f>
      </x:c>
      <x:c r="Z63" s="2" t="n">
        <x:f>IF(N63&gt;0,1,0)</x:f>
        <x:v>0</x:v>
      </x:c>
    </x:row>
    <x:row r="64" ht="21" customHeight="1">
      <x:c r="A64" s="6" t="n">
        <x:f>'Daily inputs'!A64</x:f>
        <x:v>45972</x:v>
      </x:c>
      <x:c r="B64" s="2" t="str">
        <x:f>'Daily inputs'!B64</x:f>
        <x:v>I03</x:v>
      </x:c>
      <x:c r="C64" s="2" t="n">
        <x:f>'Daily inputs'!C64</x:f>
        <x:v>2</x:v>
      </x:c>
      <x:c r="D64" s="2" t="str">
        <x:f>'Daily inputs'!D64</x:f>
        <x:v>Training</x:v>
      </x:c>
      <x:c r="E64" s="7" t="n">
        <x:f>'Daily inputs'!E64</x:f>
        <x:v>7.5</x:v>
      </x:c>
      <x:c r="F64" s="2" t="n">
        <x:f>'Daily inputs'!F64</x:f>
        <x:v>30</x:v>
      </x:c>
      <x:c r="G64" s="2" t="n">
        <x:f>'Daily inputs'!G64</x:f>
        <x:v>4</x:v>
      </x:c>
      <x:c r="H64" s="2" t="n">
        <x:f>'Daily inputs'!H64</x:f>
        <x:v>31</x:v>
      </x:c>
      <x:c r="I64" s="2" t="n">
        <x:f>'Daily inputs'!I64</x:f>
        <x:v>0</x:v>
      </x:c>
      <x:c r="J64" s="2" t="n">
        <x:f>'Daily inputs'!J64</x:f>
        <x:v>0</x:v>
      </x:c>
      <x:c r="K64" s="2" t="n">
        <x:f>'Daily inputs'!K64</x:f>
        <x:v>0</x:v>
      </x:c>
      <x:c r="L64" s="2" t="n">
        <x:f>MIN(F64,G64+H64-I64)</x:f>
        <x:v>30</x:v>
      </x:c>
      <x:c r="M64" s="2" t="n">
        <x:f>G64+H64-L64-I64</x:f>
        <x:v>5</x:v>
      </x:c>
      <x:c r="N64" s="2" t="n">
        <x:f>F64-L64</x:f>
        <x:v>0</x:v>
      </x:c>
      <x:c r="O64" s="2" t="n">
        <x:f>N64-J64</x:f>
        <x:v>0</x:v>
      </x:c>
      <x:c r="P64" s="2" t="n">
        <x:f>L64+I64</x:f>
        <x:v>30</x:v>
      </x:c>
      <x:c r="Q64" s="8" t="n">
        <x:f>P64*E64</x:f>
        <x:v>225</x:v>
      </x:c>
      <x:c r="R64" s="8" t="n">
        <x:f>I64*E64</x:f>
        <x:v>0</x:v>
      </x:c>
      <x:c r="S64" s="8" t="n">
        <x:f>O64*E64</x:f>
        <x:v>0</x:v>
      </x:c>
      <x:c r="T64" s="2" t="str">
        <x:f>IF(A64&lt;DATE(2025,12,1),"",IF(D64="Closed",0,ROUND(AVERAGEIFS('Daily inputs'!$F$2:$F$367,'Daily inputs'!$B$2:$B$367,B64,'Daily inputs'!$C$2:$C$367,C64,'Daily inputs'!$D$2:$D$367,"Training"),0)))</x:f>
      </x:c>
      <x:c r="U64" s="2" t="str">
        <x:f>IF(A64&lt;DATE(2025,12,1),"",ROUND(T64*IF(D64="Christmas",Notes!$B$9,Notes!$B$8),0))</x:f>
      </x:c>
      <x:c r="V64" s="2" t="str">
        <x:f>IF(A64&lt;DATE(2025,12,1),"",ABS(T64-F64))</x:f>
      </x:c>
      <x:c r="W64" s="2" t="str">
        <x:f>IF(A64&lt;DATE(2025,12,1),"",ABS(U64-F64))</x:f>
      </x:c>
      <x:c r="X64" s="2" t="str">
        <x:f>IF(A64&lt;DATE(2025,12,1),"",T64-F64)</x:f>
      </x:c>
      <x:c r="Y64" s="2" t="str">
        <x:f>IF(A64&lt;DATE(2025,12,1),"",U64-F64)</x:f>
      </x:c>
      <x:c r="Z64" s="2" t="n">
        <x:f>IF(N64&gt;0,1,0)</x:f>
        <x:v>0</x:v>
      </x:c>
    </x:row>
    <x:row r="65" ht="21" customHeight="1">
      <x:c r="A65" s="6" t="n">
        <x:f>'Daily inputs'!A65</x:f>
        <x:v>45972</x:v>
      </x:c>
      <x:c r="B65" s="2" t="str">
        <x:f>'Daily inputs'!B65</x:f>
        <x:v>I04</x:v>
      </x:c>
      <x:c r="C65" s="2" t="n">
        <x:f>'Daily inputs'!C65</x:f>
        <x:v>2</x:v>
      </x:c>
      <x:c r="D65" s="2" t="str">
        <x:f>'Daily inputs'!D65</x:f>
        <x:v>Training</x:v>
      </x:c>
      <x:c r="E65" s="7" t="n">
        <x:f>'Daily inputs'!E65</x:f>
        <x:v>9</x:v>
      </x:c>
      <x:c r="F65" s="2" t="n">
        <x:f>'Daily inputs'!F65</x:f>
        <x:v>36</x:v>
      </x:c>
      <x:c r="G65" s="2" t="n">
        <x:f>'Daily inputs'!G65</x:f>
        <x:v>5</x:v>
      </x:c>
      <x:c r="H65" s="2" t="n">
        <x:f>'Daily inputs'!H65</x:f>
        <x:v>36</x:v>
      </x:c>
      <x:c r="I65" s="2" t="n">
        <x:f>'Daily inputs'!I65</x:f>
        <x:v>0</x:v>
      </x:c>
      <x:c r="J65" s="2" t="n">
        <x:f>'Daily inputs'!J65</x:f>
        <x:v>0</x:v>
      </x:c>
      <x:c r="K65" s="2" t="n">
        <x:f>'Daily inputs'!K65</x:f>
        <x:v>0</x:v>
      </x:c>
      <x:c r="L65" s="2" t="n">
        <x:f>MIN(F65,G65+H65-I65)</x:f>
        <x:v>36</x:v>
      </x:c>
      <x:c r="M65" s="2" t="n">
        <x:f>G65+H65-L65-I65</x:f>
        <x:v>5</x:v>
      </x:c>
      <x:c r="N65" s="2" t="n">
        <x:f>F65-L65</x:f>
        <x:v>0</x:v>
      </x:c>
      <x:c r="O65" s="2" t="n">
        <x:f>N65-J65</x:f>
        <x:v>0</x:v>
      </x:c>
      <x:c r="P65" s="2" t="n">
        <x:f>L65+I65</x:f>
        <x:v>36</x:v>
      </x:c>
      <x:c r="Q65" s="8" t="n">
        <x:f>P65*E65</x:f>
        <x:v>324</x:v>
      </x:c>
      <x:c r="R65" s="8" t="n">
        <x:f>I65*E65</x:f>
        <x:v>0</x:v>
      </x:c>
      <x:c r="S65" s="8" t="n">
        <x:f>O65*E65</x:f>
        <x:v>0</x:v>
      </x:c>
      <x:c r="T65" s="2" t="str">
        <x:f>IF(A65&lt;DATE(2025,12,1),"",IF(D65="Closed",0,ROUND(AVERAGEIFS('Daily inputs'!$F$2:$F$367,'Daily inputs'!$B$2:$B$367,B65,'Daily inputs'!$C$2:$C$367,C65,'Daily inputs'!$D$2:$D$367,"Training"),0)))</x:f>
      </x:c>
      <x:c r="U65" s="2" t="str">
        <x:f>IF(A65&lt;DATE(2025,12,1),"",ROUND(T65*IF(D65="Christmas",Notes!$B$9,Notes!$B$8),0))</x:f>
      </x:c>
      <x:c r="V65" s="2" t="str">
        <x:f>IF(A65&lt;DATE(2025,12,1),"",ABS(T65-F65))</x:f>
      </x:c>
      <x:c r="W65" s="2" t="str">
        <x:f>IF(A65&lt;DATE(2025,12,1),"",ABS(U65-F65))</x:f>
      </x:c>
      <x:c r="X65" s="2" t="str">
        <x:f>IF(A65&lt;DATE(2025,12,1),"",T65-F65)</x:f>
      </x:c>
      <x:c r="Y65" s="2" t="str">
        <x:f>IF(A65&lt;DATE(2025,12,1),"",U65-F65)</x:f>
      </x:c>
      <x:c r="Z65" s="2" t="n">
        <x:f>IF(N65&gt;0,1,0)</x:f>
        <x:v>0</x:v>
      </x:c>
    </x:row>
    <x:row r="66" ht="21" customHeight="1">
      <x:c r="A66" s="6" t="n">
        <x:f>'Daily inputs'!A66</x:f>
        <x:v>45972</x:v>
      </x:c>
      <x:c r="B66" s="2" t="str">
        <x:f>'Daily inputs'!B66</x:f>
        <x:v>I05</x:v>
      </x:c>
      <x:c r="C66" s="2" t="n">
        <x:f>'Daily inputs'!C66</x:f>
        <x:v>2</x:v>
      </x:c>
      <x:c r="D66" s="2" t="str">
        <x:f>'Daily inputs'!D66</x:f>
        <x:v>Training</x:v>
      </x:c>
      <x:c r="E66" s="7" t="n">
        <x:f>'Daily inputs'!E66</x:f>
        <x:v>3.5</x:v>
      </x:c>
      <x:c r="F66" s="2" t="n">
        <x:f>'Daily inputs'!F66</x:f>
        <x:v>72</x:v>
      </x:c>
      <x:c r="G66" s="2" t="n">
        <x:f>'Daily inputs'!G66</x:f>
        <x:v>10</x:v>
      </x:c>
      <x:c r="H66" s="2" t="n">
        <x:f>'Daily inputs'!H66</x:f>
        <x:v>73</x:v>
      </x:c>
      <x:c r="I66" s="2" t="n">
        <x:f>'Daily inputs'!I66</x:f>
        <x:v>0</x:v>
      </x:c>
      <x:c r="J66" s="2" t="n">
        <x:f>'Daily inputs'!J66</x:f>
        <x:v>0</x:v>
      </x:c>
      <x:c r="K66" s="2" t="n">
        <x:f>'Daily inputs'!K66</x:f>
        <x:v>0</x:v>
      </x:c>
      <x:c r="L66" s="2" t="n">
        <x:f>MIN(F66,G66+H66-I66)</x:f>
        <x:v>72</x:v>
      </x:c>
      <x:c r="M66" s="2" t="n">
        <x:f>G66+H66-L66-I66</x:f>
        <x:v>11</x:v>
      </x:c>
      <x:c r="N66" s="2" t="n">
        <x:f>F66-L66</x:f>
        <x:v>0</x:v>
      </x:c>
      <x:c r="O66" s="2" t="n">
        <x:f>N66-J66</x:f>
        <x:v>0</x:v>
      </x:c>
      <x:c r="P66" s="2" t="n">
        <x:f>L66+I66</x:f>
        <x:v>72</x:v>
      </x:c>
      <x:c r="Q66" s="8" t="n">
        <x:f>P66*E66</x:f>
        <x:v>252</x:v>
      </x:c>
      <x:c r="R66" s="8" t="n">
        <x:f>I66*E66</x:f>
        <x:v>0</x:v>
      </x:c>
      <x:c r="S66" s="8" t="n">
        <x:f>O66*E66</x:f>
        <x:v>0</x:v>
      </x:c>
      <x:c r="T66" s="2" t="str">
        <x:f>IF(A66&lt;DATE(2025,12,1),"",IF(D66="Closed",0,ROUND(AVERAGEIFS('Daily inputs'!$F$2:$F$367,'Daily inputs'!$B$2:$B$367,B66,'Daily inputs'!$C$2:$C$367,C66,'Daily inputs'!$D$2:$D$367,"Training"),0)))</x:f>
      </x:c>
      <x:c r="U66" s="2" t="str">
        <x:f>IF(A66&lt;DATE(2025,12,1),"",ROUND(T66*IF(D66="Christmas",Notes!$B$9,Notes!$B$8),0))</x:f>
      </x:c>
      <x:c r="V66" s="2" t="str">
        <x:f>IF(A66&lt;DATE(2025,12,1),"",ABS(T66-F66))</x:f>
      </x:c>
      <x:c r="W66" s="2" t="str">
        <x:f>IF(A66&lt;DATE(2025,12,1),"",ABS(U66-F66))</x:f>
      </x:c>
      <x:c r="X66" s="2" t="str">
        <x:f>IF(A66&lt;DATE(2025,12,1),"",T66-F66)</x:f>
      </x:c>
      <x:c r="Y66" s="2" t="str">
        <x:f>IF(A66&lt;DATE(2025,12,1),"",U66-F66)</x:f>
      </x:c>
      <x:c r="Z66" s="2" t="n">
        <x:f>IF(N66&gt;0,1,0)</x:f>
        <x:v>0</x:v>
      </x:c>
    </x:row>
    <x:row r="67" ht="21" customHeight="1">
      <x:c r="A67" s="6" t="n">
        <x:f>'Daily inputs'!A67</x:f>
        <x:v>45972</x:v>
      </x:c>
      <x:c r="B67" s="2" t="str">
        <x:f>'Daily inputs'!B67</x:f>
        <x:v>I06</x:v>
      </x:c>
      <x:c r="C67" s="2" t="n">
        <x:f>'Daily inputs'!C67</x:f>
        <x:v>2</x:v>
      </x:c>
      <x:c r="D67" s="2" t="str">
        <x:f>'Daily inputs'!D67</x:f>
        <x:v>Training</x:v>
      </x:c>
      <x:c r="E67" s="7" t="n">
        <x:f>'Daily inputs'!E67</x:f>
        <x:v>3</x:v>
      </x:c>
      <x:c r="F67" s="2" t="n">
        <x:f>'Daily inputs'!F67</x:f>
        <x:v>27</x:v>
      </x:c>
      <x:c r="G67" s="2" t="n">
        <x:f>'Daily inputs'!G67</x:f>
        <x:v>4</x:v>
      </x:c>
      <x:c r="H67" s="2" t="n">
        <x:f>'Daily inputs'!H67</x:f>
        <x:v>27</x:v>
      </x:c>
      <x:c r="I67" s="2" t="n">
        <x:f>'Daily inputs'!I67</x:f>
        <x:v>0</x:v>
      </x:c>
      <x:c r="J67" s="2" t="n">
        <x:f>'Daily inputs'!J67</x:f>
        <x:v>0</x:v>
      </x:c>
      <x:c r="K67" s="2" t="n">
        <x:f>'Daily inputs'!K67</x:f>
        <x:v>0</x:v>
      </x:c>
      <x:c r="L67" s="2" t="n">
        <x:f>MIN(F67,G67+H67-I67)</x:f>
        <x:v>27</x:v>
      </x:c>
      <x:c r="M67" s="2" t="n">
        <x:f>G67+H67-L67-I67</x:f>
        <x:v>4</x:v>
      </x:c>
      <x:c r="N67" s="2" t="n">
        <x:f>F67-L67</x:f>
        <x:v>0</x:v>
      </x:c>
      <x:c r="O67" s="2" t="n">
        <x:f>N67-J67</x:f>
        <x:v>0</x:v>
      </x:c>
      <x:c r="P67" s="2" t="n">
        <x:f>L67+I67</x:f>
        <x:v>27</x:v>
      </x:c>
      <x:c r="Q67" s="8" t="n">
        <x:f>P67*E67</x:f>
        <x:v>81</x:v>
      </x:c>
      <x:c r="R67" s="8" t="n">
        <x:f>I67*E67</x:f>
        <x:v>0</x:v>
      </x:c>
      <x:c r="S67" s="8" t="n">
        <x:f>O67*E67</x:f>
        <x:v>0</x:v>
      </x:c>
      <x:c r="T67" s="2" t="str">
        <x:f>IF(A67&lt;DATE(2025,12,1),"",IF(D67="Closed",0,ROUND(AVERAGEIFS('Daily inputs'!$F$2:$F$367,'Daily inputs'!$B$2:$B$367,B67,'Daily inputs'!$C$2:$C$367,C67,'Daily inputs'!$D$2:$D$367,"Training"),0)))</x:f>
      </x:c>
      <x:c r="U67" s="2" t="str">
        <x:f>IF(A67&lt;DATE(2025,12,1),"",ROUND(T67*IF(D67="Christmas",Notes!$B$9,Notes!$B$8),0))</x:f>
      </x:c>
      <x:c r="V67" s="2" t="str">
        <x:f>IF(A67&lt;DATE(2025,12,1),"",ABS(T67-F67))</x:f>
      </x:c>
      <x:c r="W67" s="2" t="str">
        <x:f>IF(A67&lt;DATE(2025,12,1),"",ABS(U67-F67))</x:f>
      </x:c>
      <x:c r="X67" s="2" t="str">
        <x:f>IF(A67&lt;DATE(2025,12,1),"",T67-F67)</x:f>
      </x:c>
      <x:c r="Y67" s="2" t="str">
        <x:f>IF(A67&lt;DATE(2025,12,1),"",U67-F67)</x:f>
      </x:c>
      <x:c r="Z67" s="2" t="n">
        <x:f>IF(N67&gt;0,1,0)</x:f>
        <x:v>0</x:v>
      </x:c>
    </x:row>
    <x:row r="68" ht="21" customHeight="1">
      <x:c r="A68" s="6" t="n">
        <x:f>'Daily inputs'!A68</x:f>
        <x:v>45973</x:v>
      </x:c>
      <x:c r="B68" s="2" t="str">
        <x:f>'Daily inputs'!B68</x:f>
        <x:v>I01</x:v>
      </x:c>
      <x:c r="C68" s="2" t="n">
        <x:f>'Daily inputs'!C68</x:f>
        <x:v>3</x:v>
      </x:c>
      <x:c r="D68" s="2" t="str">
        <x:f>'Daily inputs'!D68</x:f>
        <x:v>Training</x:v>
      </x:c>
      <x:c r="E68" s="7" t="n">
        <x:f>'Daily inputs'!E68</x:f>
        <x:v>8.5</x:v>
      </x:c>
      <x:c r="F68" s="2" t="n">
        <x:f>'Daily inputs'!F68</x:f>
        <x:v>69</x:v>
      </x:c>
      <x:c r="G68" s="2" t="n">
        <x:f>'Daily inputs'!G68</x:f>
        <x:v>10</x:v>
      </x:c>
      <x:c r="H68" s="2" t="n">
        <x:f>'Daily inputs'!H68</x:f>
        <x:v>69</x:v>
      </x:c>
      <x:c r="I68" s="2" t="n">
        <x:f>'Daily inputs'!I68</x:f>
        <x:v>0</x:v>
      </x:c>
      <x:c r="J68" s="2" t="n">
        <x:f>'Daily inputs'!J68</x:f>
        <x:v>0</x:v>
      </x:c>
      <x:c r="K68" s="2" t="n">
        <x:f>'Daily inputs'!K68</x:f>
        <x:v>0</x:v>
      </x:c>
      <x:c r="L68" s="2" t="n">
        <x:f>MIN(F68,G68+H68-I68)</x:f>
        <x:v>69</x:v>
      </x:c>
      <x:c r="M68" s="2" t="n">
        <x:f>G68+H68-L68-I68</x:f>
        <x:v>10</x:v>
      </x:c>
      <x:c r="N68" s="2" t="n">
        <x:f>F68-L68</x:f>
        <x:v>0</x:v>
      </x:c>
      <x:c r="O68" s="2" t="n">
        <x:f>N68-J68</x:f>
        <x:v>0</x:v>
      </x:c>
      <x:c r="P68" s="2" t="n">
        <x:f>L68+I68</x:f>
        <x:v>69</x:v>
      </x:c>
      <x:c r="Q68" s="8" t="n">
        <x:f>P68*E68</x:f>
        <x:v>586.5</x:v>
      </x:c>
      <x:c r="R68" s="8" t="n">
        <x:f>I68*E68</x:f>
        <x:v>0</x:v>
      </x:c>
      <x:c r="S68" s="8" t="n">
        <x:f>O68*E68</x:f>
        <x:v>0</x:v>
      </x:c>
      <x:c r="T68" s="2" t="str">
        <x:f>IF(A68&lt;DATE(2025,12,1),"",IF(D68="Closed",0,ROUND(AVERAGEIFS('Daily inputs'!$F$2:$F$367,'Daily inputs'!$B$2:$B$367,B68,'Daily inputs'!$C$2:$C$367,C68,'Daily inputs'!$D$2:$D$367,"Training"),0)))</x:f>
      </x:c>
      <x:c r="U68" s="2" t="str">
        <x:f>IF(A68&lt;DATE(2025,12,1),"",ROUND(T68*IF(D68="Christmas",Notes!$B$9,Notes!$B$8),0))</x:f>
      </x:c>
      <x:c r="V68" s="2" t="str">
        <x:f>IF(A68&lt;DATE(2025,12,1),"",ABS(T68-F68))</x:f>
      </x:c>
      <x:c r="W68" s="2" t="str">
        <x:f>IF(A68&lt;DATE(2025,12,1),"",ABS(U68-F68))</x:f>
      </x:c>
      <x:c r="X68" s="2" t="str">
        <x:f>IF(A68&lt;DATE(2025,12,1),"",T68-F68)</x:f>
      </x:c>
      <x:c r="Y68" s="2" t="str">
        <x:f>IF(A68&lt;DATE(2025,12,1),"",U68-F68)</x:f>
      </x:c>
      <x:c r="Z68" s="2" t="n">
        <x:f>IF(N68&gt;0,1,0)</x:f>
        <x:v>0</x:v>
      </x:c>
    </x:row>
    <x:row r="69" ht="21" customHeight="1">
      <x:c r="A69" s="6" t="n">
        <x:f>'Daily inputs'!A69</x:f>
        <x:v>45973</x:v>
      </x:c>
      <x:c r="B69" s="2" t="str">
        <x:f>'Daily inputs'!B69</x:f>
        <x:v>I02</x:v>
      </x:c>
      <x:c r="C69" s="2" t="n">
        <x:f>'Daily inputs'!C69</x:f>
        <x:v>3</x:v>
      </x:c>
      <x:c r="D69" s="2" t="str">
        <x:f>'Daily inputs'!D69</x:f>
        <x:v>Training</x:v>
      </x:c>
      <x:c r="E69" s="7" t="n">
        <x:f>'Daily inputs'!E69</x:f>
        <x:v>8</x:v>
      </x:c>
      <x:c r="F69" s="2" t="n">
        <x:f>'Daily inputs'!F69</x:f>
        <x:v>56</x:v>
      </x:c>
      <x:c r="G69" s="2" t="n">
        <x:f>'Daily inputs'!G69</x:f>
        <x:v>8</x:v>
      </x:c>
      <x:c r="H69" s="2" t="n">
        <x:f>'Daily inputs'!H69</x:f>
        <x:v>56</x:v>
      </x:c>
      <x:c r="I69" s="2" t="n">
        <x:f>'Daily inputs'!I69</x:f>
        <x:v>0</x:v>
      </x:c>
      <x:c r="J69" s="2" t="n">
        <x:f>'Daily inputs'!J69</x:f>
        <x:v>0</x:v>
      </x:c>
      <x:c r="K69" s="2" t="n">
        <x:f>'Daily inputs'!K69</x:f>
        <x:v>0</x:v>
      </x:c>
      <x:c r="L69" s="2" t="n">
        <x:f>MIN(F69,G69+H69-I69)</x:f>
        <x:v>56</x:v>
      </x:c>
      <x:c r="M69" s="2" t="n">
        <x:f>G69+H69-L69-I69</x:f>
        <x:v>8</x:v>
      </x:c>
      <x:c r="N69" s="2" t="n">
        <x:f>F69-L69</x:f>
        <x:v>0</x:v>
      </x:c>
      <x:c r="O69" s="2" t="n">
        <x:f>N69-J69</x:f>
        <x:v>0</x:v>
      </x:c>
      <x:c r="P69" s="2" t="n">
        <x:f>L69+I69</x:f>
        <x:v>56</x:v>
      </x:c>
      <x:c r="Q69" s="8" t="n">
        <x:f>P69*E69</x:f>
        <x:v>448</x:v>
      </x:c>
      <x:c r="R69" s="8" t="n">
        <x:f>I69*E69</x:f>
        <x:v>0</x:v>
      </x:c>
      <x:c r="S69" s="8" t="n">
        <x:f>O69*E69</x:f>
        <x:v>0</x:v>
      </x:c>
      <x:c r="T69" s="2" t="str">
        <x:f>IF(A69&lt;DATE(2025,12,1),"",IF(D69="Closed",0,ROUND(AVERAGEIFS('Daily inputs'!$F$2:$F$367,'Daily inputs'!$B$2:$B$367,B69,'Daily inputs'!$C$2:$C$367,C69,'Daily inputs'!$D$2:$D$367,"Training"),0)))</x:f>
      </x:c>
      <x:c r="U69" s="2" t="str">
        <x:f>IF(A69&lt;DATE(2025,12,1),"",ROUND(T69*IF(D69="Christmas",Notes!$B$9,Notes!$B$8),0))</x:f>
      </x:c>
      <x:c r="V69" s="2" t="str">
        <x:f>IF(A69&lt;DATE(2025,12,1),"",ABS(T69-F69))</x:f>
      </x:c>
      <x:c r="W69" s="2" t="str">
        <x:f>IF(A69&lt;DATE(2025,12,1),"",ABS(U69-F69))</x:f>
      </x:c>
      <x:c r="X69" s="2" t="str">
        <x:f>IF(A69&lt;DATE(2025,12,1),"",T69-F69)</x:f>
      </x:c>
      <x:c r="Y69" s="2" t="str">
        <x:f>IF(A69&lt;DATE(2025,12,1),"",U69-F69)</x:f>
      </x:c>
      <x:c r="Z69" s="2" t="n">
        <x:f>IF(N69&gt;0,1,0)</x:f>
        <x:v>0</x:v>
      </x:c>
    </x:row>
    <x:row r="70" ht="21" customHeight="1">
      <x:c r="A70" s="6" t="n">
        <x:f>'Daily inputs'!A70</x:f>
        <x:v>45973</x:v>
      </x:c>
      <x:c r="B70" s="2" t="str">
        <x:f>'Daily inputs'!B70</x:f>
        <x:v>I03</x:v>
      </x:c>
      <x:c r="C70" s="2" t="n">
        <x:f>'Daily inputs'!C70</x:f>
        <x:v>3</x:v>
      </x:c>
      <x:c r="D70" s="2" t="str">
        <x:f>'Daily inputs'!D70</x:f>
        <x:v>Training</x:v>
      </x:c>
      <x:c r="E70" s="7" t="n">
        <x:f>'Daily inputs'!E70</x:f>
        <x:v>7.5</x:v>
      </x:c>
      <x:c r="F70" s="2" t="n">
        <x:f>'Daily inputs'!F70</x:f>
        <x:v>33</x:v>
      </x:c>
      <x:c r="G70" s="2" t="n">
        <x:f>'Daily inputs'!G70</x:f>
        <x:v>5</x:v>
      </x:c>
      <x:c r="H70" s="2" t="n">
        <x:f>'Daily inputs'!H70</x:f>
        <x:v>33</x:v>
      </x:c>
      <x:c r="I70" s="2" t="n">
        <x:f>'Daily inputs'!I70</x:f>
        <x:v>0</x:v>
      </x:c>
      <x:c r="J70" s="2" t="n">
        <x:f>'Daily inputs'!J70</x:f>
        <x:v>0</x:v>
      </x:c>
      <x:c r="K70" s="2" t="n">
        <x:f>'Daily inputs'!K70</x:f>
        <x:v>0</x:v>
      </x:c>
      <x:c r="L70" s="2" t="n">
        <x:f>MIN(F70,G70+H70-I70)</x:f>
        <x:v>33</x:v>
      </x:c>
      <x:c r="M70" s="2" t="n">
        <x:f>G70+H70-L70-I70</x:f>
        <x:v>5</x:v>
      </x:c>
      <x:c r="N70" s="2" t="n">
        <x:f>F70-L70</x:f>
        <x:v>0</x:v>
      </x:c>
      <x:c r="O70" s="2" t="n">
        <x:f>N70-J70</x:f>
        <x:v>0</x:v>
      </x:c>
      <x:c r="P70" s="2" t="n">
        <x:f>L70+I70</x:f>
        <x:v>33</x:v>
      </x:c>
      <x:c r="Q70" s="8" t="n">
        <x:f>P70*E70</x:f>
        <x:v>247.5</x:v>
      </x:c>
      <x:c r="R70" s="8" t="n">
        <x:f>I70*E70</x:f>
        <x:v>0</x:v>
      </x:c>
      <x:c r="S70" s="8" t="n">
        <x:f>O70*E70</x:f>
        <x:v>0</x:v>
      </x:c>
      <x:c r="T70" s="2" t="str">
        <x:f>IF(A70&lt;DATE(2025,12,1),"",IF(D70="Closed",0,ROUND(AVERAGEIFS('Daily inputs'!$F$2:$F$367,'Daily inputs'!$B$2:$B$367,B70,'Daily inputs'!$C$2:$C$367,C70,'Daily inputs'!$D$2:$D$367,"Training"),0)))</x:f>
      </x:c>
      <x:c r="U70" s="2" t="str">
        <x:f>IF(A70&lt;DATE(2025,12,1),"",ROUND(T70*IF(D70="Christmas",Notes!$B$9,Notes!$B$8),0))</x:f>
      </x:c>
      <x:c r="V70" s="2" t="str">
        <x:f>IF(A70&lt;DATE(2025,12,1),"",ABS(T70-F70))</x:f>
      </x:c>
      <x:c r="W70" s="2" t="str">
        <x:f>IF(A70&lt;DATE(2025,12,1),"",ABS(U70-F70))</x:f>
      </x:c>
      <x:c r="X70" s="2" t="str">
        <x:f>IF(A70&lt;DATE(2025,12,1),"",T70-F70)</x:f>
      </x:c>
      <x:c r="Y70" s="2" t="str">
        <x:f>IF(A70&lt;DATE(2025,12,1),"",U70-F70)</x:f>
      </x:c>
      <x:c r="Z70" s="2" t="n">
        <x:f>IF(N70&gt;0,1,0)</x:f>
        <x:v>0</x:v>
      </x:c>
    </x:row>
    <x:row r="71" ht="21" customHeight="1">
      <x:c r="A71" s="6" t="n">
        <x:f>'Daily inputs'!A71</x:f>
        <x:v>45973</x:v>
      </x:c>
      <x:c r="B71" s="2" t="str">
        <x:f>'Daily inputs'!B71</x:f>
        <x:v>I04</x:v>
      </x:c>
      <x:c r="C71" s="2" t="n">
        <x:f>'Daily inputs'!C71</x:f>
        <x:v>3</x:v>
      </x:c>
      <x:c r="D71" s="2" t="str">
        <x:f>'Daily inputs'!D71</x:f>
        <x:v>Training</x:v>
      </x:c>
      <x:c r="E71" s="7" t="n">
        <x:f>'Daily inputs'!E71</x:f>
        <x:v>9</x:v>
      </x:c>
      <x:c r="F71" s="2" t="n">
        <x:f>'Daily inputs'!F71</x:f>
        <x:v>39</x:v>
      </x:c>
      <x:c r="G71" s="2" t="n">
        <x:f>'Daily inputs'!G71</x:f>
        <x:v>5</x:v>
      </x:c>
      <x:c r="H71" s="2" t="n">
        <x:f>'Daily inputs'!H71</x:f>
        <x:v>40</x:v>
      </x:c>
      <x:c r="I71" s="2" t="n">
        <x:f>'Daily inputs'!I71</x:f>
        <x:v>0</x:v>
      </x:c>
      <x:c r="J71" s="2" t="n">
        <x:f>'Daily inputs'!J71</x:f>
        <x:v>0</x:v>
      </x:c>
      <x:c r="K71" s="2" t="n">
        <x:f>'Daily inputs'!K71</x:f>
        <x:v>0</x:v>
      </x:c>
      <x:c r="L71" s="2" t="n">
        <x:f>MIN(F71,G71+H71-I71)</x:f>
        <x:v>39</x:v>
      </x:c>
      <x:c r="M71" s="2" t="n">
        <x:f>G71+H71-L71-I71</x:f>
        <x:v>6</x:v>
      </x:c>
      <x:c r="N71" s="2" t="n">
        <x:f>F71-L71</x:f>
        <x:v>0</x:v>
      </x:c>
      <x:c r="O71" s="2" t="n">
        <x:f>N71-J71</x:f>
        <x:v>0</x:v>
      </x:c>
      <x:c r="P71" s="2" t="n">
        <x:f>L71+I71</x:f>
        <x:v>39</x:v>
      </x:c>
      <x:c r="Q71" s="8" t="n">
        <x:f>P71*E71</x:f>
        <x:v>351</x:v>
      </x:c>
      <x:c r="R71" s="8" t="n">
        <x:f>I71*E71</x:f>
        <x:v>0</x:v>
      </x:c>
      <x:c r="S71" s="8" t="n">
        <x:f>O71*E71</x:f>
        <x:v>0</x:v>
      </x:c>
      <x:c r="T71" s="2" t="str">
        <x:f>IF(A71&lt;DATE(2025,12,1),"",IF(D71="Closed",0,ROUND(AVERAGEIFS('Daily inputs'!$F$2:$F$367,'Daily inputs'!$B$2:$B$367,B71,'Daily inputs'!$C$2:$C$367,C71,'Daily inputs'!$D$2:$D$367,"Training"),0)))</x:f>
      </x:c>
      <x:c r="U71" s="2" t="str">
        <x:f>IF(A71&lt;DATE(2025,12,1),"",ROUND(T71*IF(D71="Christmas",Notes!$B$9,Notes!$B$8),0))</x:f>
      </x:c>
      <x:c r="V71" s="2" t="str">
        <x:f>IF(A71&lt;DATE(2025,12,1),"",ABS(T71-F71))</x:f>
      </x:c>
      <x:c r="W71" s="2" t="str">
        <x:f>IF(A71&lt;DATE(2025,12,1),"",ABS(U71-F71))</x:f>
      </x:c>
      <x:c r="X71" s="2" t="str">
        <x:f>IF(A71&lt;DATE(2025,12,1),"",T71-F71)</x:f>
      </x:c>
      <x:c r="Y71" s="2" t="str">
        <x:f>IF(A71&lt;DATE(2025,12,1),"",U71-F71)</x:f>
      </x:c>
      <x:c r="Z71" s="2" t="n">
        <x:f>IF(N71&gt;0,1,0)</x:f>
        <x:v>0</x:v>
      </x:c>
    </x:row>
    <x:row r="72" ht="21" customHeight="1">
      <x:c r="A72" s="6" t="n">
        <x:f>'Daily inputs'!A72</x:f>
        <x:v>45973</x:v>
      </x:c>
      <x:c r="B72" s="2" t="str">
        <x:f>'Daily inputs'!B72</x:f>
        <x:v>I05</x:v>
      </x:c>
      <x:c r="C72" s="2" t="n">
        <x:f>'Daily inputs'!C72</x:f>
        <x:v>3</x:v>
      </x:c>
      <x:c r="D72" s="2" t="str">
        <x:f>'Daily inputs'!D72</x:f>
        <x:v>Training</x:v>
      </x:c>
      <x:c r="E72" s="7" t="n">
        <x:f>'Daily inputs'!E72</x:f>
        <x:v>3.5</x:v>
      </x:c>
      <x:c r="F72" s="2" t="n">
        <x:f>'Daily inputs'!F72</x:f>
        <x:v>72</x:v>
      </x:c>
      <x:c r="G72" s="2" t="n">
        <x:f>'Daily inputs'!G72</x:f>
        <x:v>11</x:v>
      </x:c>
      <x:c r="H72" s="2" t="n">
        <x:f>'Daily inputs'!H72</x:f>
        <x:v>72</x:v>
      </x:c>
      <x:c r="I72" s="2" t="n">
        <x:f>'Daily inputs'!I72</x:f>
        <x:v>0</x:v>
      </x:c>
      <x:c r="J72" s="2" t="n">
        <x:f>'Daily inputs'!J72</x:f>
        <x:v>0</x:v>
      </x:c>
      <x:c r="K72" s="2" t="n">
        <x:f>'Daily inputs'!K72</x:f>
        <x:v>0</x:v>
      </x:c>
      <x:c r="L72" s="2" t="n">
        <x:f>MIN(F72,G72+H72-I72)</x:f>
        <x:v>72</x:v>
      </x:c>
      <x:c r="M72" s="2" t="n">
        <x:f>G72+H72-L72-I72</x:f>
        <x:v>11</x:v>
      </x:c>
      <x:c r="N72" s="2" t="n">
        <x:f>F72-L72</x:f>
        <x:v>0</x:v>
      </x:c>
      <x:c r="O72" s="2" t="n">
        <x:f>N72-J72</x:f>
        <x:v>0</x:v>
      </x:c>
      <x:c r="P72" s="2" t="n">
        <x:f>L72+I72</x:f>
        <x:v>72</x:v>
      </x:c>
      <x:c r="Q72" s="8" t="n">
        <x:f>P72*E72</x:f>
        <x:v>252</x:v>
      </x:c>
      <x:c r="R72" s="8" t="n">
        <x:f>I72*E72</x:f>
        <x:v>0</x:v>
      </x:c>
      <x:c r="S72" s="8" t="n">
        <x:f>O72*E72</x:f>
        <x:v>0</x:v>
      </x:c>
      <x:c r="T72" s="2" t="str">
        <x:f>IF(A72&lt;DATE(2025,12,1),"",IF(D72="Closed",0,ROUND(AVERAGEIFS('Daily inputs'!$F$2:$F$367,'Daily inputs'!$B$2:$B$367,B72,'Daily inputs'!$C$2:$C$367,C72,'Daily inputs'!$D$2:$D$367,"Training"),0)))</x:f>
      </x:c>
      <x:c r="U72" s="2" t="str">
        <x:f>IF(A72&lt;DATE(2025,12,1),"",ROUND(T72*IF(D72="Christmas",Notes!$B$9,Notes!$B$8),0))</x:f>
      </x:c>
      <x:c r="V72" s="2" t="str">
        <x:f>IF(A72&lt;DATE(2025,12,1),"",ABS(T72-F72))</x:f>
      </x:c>
      <x:c r="W72" s="2" t="str">
        <x:f>IF(A72&lt;DATE(2025,12,1),"",ABS(U72-F72))</x:f>
      </x:c>
      <x:c r="X72" s="2" t="str">
        <x:f>IF(A72&lt;DATE(2025,12,1),"",T72-F72)</x:f>
      </x:c>
      <x:c r="Y72" s="2" t="str">
        <x:f>IF(A72&lt;DATE(2025,12,1),"",U72-F72)</x:f>
      </x:c>
      <x:c r="Z72" s="2" t="n">
        <x:f>IF(N72&gt;0,1,0)</x:f>
        <x:v>0</x:v>
      </x:c>
    </x:row>
    <x:row r="73" ht="21" customHeight="1">
      <x:c r="A73" s="6" t="n">
        <x:f>'Daily inputs'!A73</x:f>
        <x:v>45973</x:v>
      </x:c>
      <x:c r="B73" s="2" t="str">
        <x:f>'Daily inputs'!B73</x:f>
        <x:v>I06</x:v>
      </x:c>
      <x:c r="C73" s="2" t="n">
        <x:f>'Daily inputs'!C73</x:f>
        <x:v>3</x:v>
      </x:c>
      <x:c r="D73" s="2" t="str">
        <x:f>'Daily inputs'!D73</x:f>
        <x:v>Training</x:v>
      </x:c>
      <x:c r="E73" s="7" t="n">
        <x:f>'Daily inputs'!E73</x:f>
        <x:v>3</x:v>
      </x:c>
      <x:c r="F73" s="2" t="n">
        <x:f>'Daily inputs'!F73</x:f>
        <x:v>30</x:v>
      </x:c>
      <x:c r="G73" s="2" t="n">
        <x:f>'Daily inputs'!G73</x:f>
        <x:v>4</x:v>
      </x:c>
      <x:c r="H73" s="2" t="n">
        <x:f>'Daily inputs'!H73</x:f>
        <x:v>31</x:v>
      </x:c>
      <x:c r="I73" s="2" t="n">
        <x:f>'Daily inputs'!I73</x:f>
        <x:v>0</x:v>
      </x:c>
      <x:c r="J73" s="2" t="n">
        <x:f>'Daily inputs'!J73</x:f>
        <x:v>0</x:v>
      </x:c>
      <x:c r="K73" s="2" t="n">
        <x:f>'Daily inputs'!K73</x:f>
        <x:v>0</x:v>
      </x:c>
      <x:c r="L73" s="2" t="n">
        <x:f>MIN(F73,G73+H73-I73)</x:f>
        <x:v>30</x:v>
      </x:c>
      <x:c r="M73" s="2" t="n">
        <x:f>G73+H73-L73-I73</x:f>
        <x:v>5</x:v>
      </x:c>
      <x:c r="N73" s="2" t="n">
        <x:f>F73-L73</x:f>
        <x:v>0</x:v>
      </x:c>
      <x:c r="O73" s="2" t="n">
        <x:f>N73-J73</x:f>
        <x:v>0</x:v>
      </x:c>
      <x:c r="P73" s="2" t="n">
        <x:f>L73+I73</x:f>
        <x:v>30</x:v>
      </x:c>
      <x:c r="Q73" s="8" t="n">
        <x:f>P73*E73</x:f>
        <x:v>90</x:v>
      </x:c>
      <x:c r="R73" s="8" t="n">
        <x:f>I73*E73</x:f>
        <x:v>0</x:v>
      </x:c>
      <x:c r="S73" s="8" t="n">
        <x:f>O73*E73</x:f>
        <x:v>0</x:v>
      </x:c>
      <x:c r="T73" s="2" t="str">
        <x:f>IF(A73&lt;DATE(2025,12,1),"",IF(D73="Closed",0,ROUND(AVERAGEIFS('Daily inputs'!$F$2:$F$367,'Daily inputs'!$B$2:$B$367,B73,'Daily inputs'!$C$2:$C$367,C73,'Daily inputs'!$D$2:$D$367,"Training"),0)))</x:f>
      </x:c>
      <x:c r="U73" s="2" t="str">
        <x:f>IF(A73&lt;DATE(2025,12,1),"",ROUND(T73*IF(D73="Christmas",Notes!$B$9,Notes!$B$8),0))</x:f>
      </x:c>
      <x:c r="V73" s="2" t="str">
        <x:f>IF(A73&lt;DATE(2025,12,1),"",ABS(T73-F73))</x:f>
      </x:c>
      <x:c r="W73" s="2" t="str">
        <x:f>IF(A73&lt;DATE(2025,12,1),"",ABS(U73-F73))</x:f>
      </x:c>
      <x:c r="X73" s="2" t="str">
        <x:f>IF(A73&lt;DATE(2025,12,1),"",T73-F73)</x:f>
      </x:c>
      <x:c r="Y73" s="2" t="str">
        <x:f>IF(A73&lt;DATE(2025,12,1),"",U73-F73)</x:f>
      </x:c>
      <x:c r="Z73" s="2" t="n">
        <x:f>IF(N73&gt;0,1,0)</x:f>
        <x:v>0</x:v>
      </x:c>
    </x:row>
    <x:row r="74" ht="21" customHeight="1">
      <x:c r="A74" s="6" t="n">
        <x:f>'Daily inputs'!A74</x:f>
        <x:v>45974</x:v>
      </x:c>
      <x:c r="B74" s="2" t="str">
        <x:f>'Daily inputs'!B74</x:f>
        <x:v>I01</x:v>
      </x:c>
      <x:c r="C74" s="2" t="n">
        <x:f>'Daily inputs'!C74</x:f>
        <x:v>4</x:v>
      </x:c>
      <x:c r="D74" s="2" t="str">
        <x:f>'Daily inputs'!D74</x:f>
        <x:v>Training</x:v>
      </x:c>
      <x:c r="E74" s="7" t="n">
        <x:f>'Daily inputs'!E74</x:f>
        <x:v>8.5</x:v>
      </x:c>
      <x:c r="F74" s="2" t="n">
        <x:f>'Daily inputs'!F74</x:f>
        <x:v>69</x:v>
      </x:c>
      <x:c r="G74" s="2" t="n">
        <x:f>'Daily inputs'!G74</x:f>
        <x:v>10</x:v>
      </x:c>
      <x:c r="H74" s="2" t="n">
        <x:f>'Daily inputs'!H74</x:f>
        <x:v>69</x:v>
      </x:c>
      <x:c r="I74" s="2" t="n">
        <x:f>'Daily inputs'!I74</x:f>
        <x:v>0</x:v>
      </x:c>
      <x:c r="J74" s="2" t="n">
        <x:f>'Daily inputs'!J74</x:f>
        <x:v>0</x:v>
      </x:c>
      <x:c r="K74" s="2" t="n">
        <x:f>'Daily inputs'!K74</x:f>
        <x:v>0</x:v>
      </x:c>
      <x:c r="L74" s="2" t="n">
        <x:f>MIN(F74,G74+H74-I74)</x:f>
        <x:v>69</x:v>
      </x:c>
      <x:c r="M74" s="2" t="n">
        <x:f>G74+H74-L74-I74</x:f>
        <x:v>10</x:v>
      </x:c>
      <x:c r="N74" s="2" t="n">
        <x:f>F74-L74</x:f>
        <x:v>0</x:v>
      </x:c>
      <x:c r="O74" s="2" t="n">
        <x:f>N74-J74</x:f>
        <x:v>0</x:v>
      </x:c>
      <x:c r="P74" s="2" t="n">
        <x:f>L74+I74</x:f>
        <x:v>69</x:v>
      </x:c>
      <x:c r="Q74" s="8" t="n">
        <x:f>P74*E74</x:f>
        <x:v>586.5</x:v>
      </x:c>
      <x:c r="R74" s="8" t="n">
        <x:f>I74*E74</x:f>
        <x:v>0</x:v>
      </x:c>
      <x:c r="S74" s="8" t="n">
        <x:f>O74*E74</x:f>
        <x:v>0</x:v>
      </x:c>
      <x:c r="T74" s="2" t="str">
        <x:f>IF(A74&lt;DATE(2025,12,1),"",IF(D74="Closed",0,ROUND(AVERAGEIFS('Daily inputs'!$F$2:$F$367,'Daily inputs'!$B$2:$B$367,B74,'Daily inputs'!$C$2:$C$367,C74,'Daily inputs'!$D$2:$D$367,"Training"),0)))</x:f>
      </x:c>
      <x:c r="U74" s="2" t="str">
        <x:f>IF(A74&lt;DATE(2025,12,1),"",ROUND(T74*IF(D74="Christmas",Notes!$B$9,Notes!$B$8),0))</x:f>
      </x:c>
      <x:c r="V74" s="2" t="str">
        <x:f>IF(A74&lt;DATE(2025,12,1),"",ABS(T74-F74))</x:f>
      </x:c>
      <x:c r="W74" s="2" t="str">
        <x:f>IF(A74&lt;DATE(2025,12,1),"",ABS(U74-F74))</x:f>
      </x:c>
      <x:c r="X74" s="2" t="str">
        <x:f>IF(A74&lt;DATE(2025,12,1),"",T74-F74)</x:f>
      </x:c>
      <x:c r="Y74" s="2" t="str">
        <x:f>IF(A74&lt;DATE(2025,12,1),"",U74-F74)</x:f>
      </x:c>
      <x:c r="Z74" s="2" t="n">
        <x:f>IF(N74&gt;0,1,0)</x:f>
        <x:v>0</x:v>
      </x:c>
    </x:row>
    <x:row r="75" ht="21" customHeight="1">
      <x:c r="A75" s="6" t="n">
        <x:f>'Daily inputs'!A75</x:f>
        <x:v>45974</x:v>
      </x:c>
      <x:c r="B75" s="2" t="str">
        <x:f>'Daily inputs'!B75</x:f>
        <x:v>I02</x:v>
      </x:c>
      <x:c r="C75" s="2" t="n">
        <x:f>'Daily inputs'!C75</x:f>
        <x:v>4</x:v>
      </x:c>
      <x:c r="D75" s="2" t="str">
        <x:f>'Daily inputs'!D75</x:f>
        <x:v>Training</x:v>
      </x:c>
      <x:c r="E75" s="7" t="n">
        <x:f>'Daily inputs'!E75</x:f>
        <x:v>8</x:v>
      </x:c>
      <x:c r="F75" s="2" t="n">
        <x:f>'Daily inputs'!F75</x:f>
        <x:v>61</x:v>
      </x:c>
      <x:c r="G75" s="2" t="n">
        <x:f>'Daily inputs'!G75</x:f>
        <x:v>8</x:v>
      </x:c>
      <x:c r="H75" s="2" t="n">
        <x:f>'Daily inputs'!H75</x:f>
        <x:v>62</x:v>
      </x:c>
      <x:c r="I75" s="2" t="n">
        <x:f>'Daily inputs'!I75</x:f>
        <x:v>0</x:v>
      </x:c>
      <x:c r="J75" s="2" t="n">
        <x:f>'Daily inputs'!J75</x:f>
        <x:v>0</x:v>
      </x:c>
      <x:c r="K75" s="2" t="n">
        <x:f>'Daily inputs'!K75</x:f>
        <x:v>0</x:v>
      </x:c>
      <x:c r="L75" s="2" t="n">
        <x:f>MIN(F75,G75+H75-I75)</x:f>
        <x:v>61</x:v>
      </x:c>
      <x:c r="M75" s="2" t="n">
        <x:f>G75+H75-L75-I75</x:f>
        <x:v>9</x:v>
      </x:c>
      <x:c r="N75" s="2" t="n">
        <x:f>F75-L75</x:f>
        <x:v>0</x:v>
      </x:c>
      <x:c r="O75" s="2" t="n">
        <x:f>N75-J75</x:f>
        <x:v>0</x:v>
      </x:c>
      <x:c r="P75" s="2" t="n">
        <x:f>L75+I75</x:f>
        <x:v>61</x:v>
      </x:c>
      <x:c r="Q75" s="8" t="n">
        <x:f>P75*E75</x:f>
        <x:v>488</x:v>
      </x:c>
      <x:c r="R75" s="8" t="n">
        <x:f>I75*E75</x:f>
        <x:v>0</x:v>
      </x:c>
      <x:c r="S75" s="8" t="n">
        <x:f>O75*E75</x:f>
        <x:v>0</x:v>
      </x:c>
      <x:c r="T75" s="2" t="str">
        <x:f>IF(A75&lt;DATE(2025,12,1),"",IF(D75="Closed",0,ROUND(AVERAGEIFS('Daily inputs'!$F$2:$F$367,'Daily inputs'!$B$2:$B$367,B75,'Daily inputs'!$C$2:$C$367,C75,'Daily inputs'!$D$2:$D$367,"Training"),0)))</x:f>
      </x:c>
      <x:c r="U75" s="2" t="str">
        <x:f>IF(A75&lt;DATE(2025,12,1),"",ROUND(T75*IF(D75="Christmas",Notes!$B$9,Notes!$B$8),0))</x:f>
      </x:c>
      <x:c r="V75" s="2" t="str">
        <x:f>IF(A75&lt;DATE(2025,12,1),"",ABS(T75-F75))</x:f>
      </x:c>
      <x:c r="W75" s="2" t="str">
        <x:f>IF(A75&lt;DATE(2025,12,1),"",ABS(U75-F75))</x:f>
      </x:c>
      <x:c r="X75" s="2" t="str">
        <x:f>IF(A75&lt;DATE(2025,12,1),"",T75-F75)</x:f>
      </x:c>
      <x:c r="Y75" s="2" t="str">
        <x:f>IF(A75&lt;DATE(2025,12,1),"",U75-F75)</x:f>
      </x:c>
      <x:c r="Z75" s="2" t="n">
        <x:f>IF(N75&gt;0,1,0)</x:f>
        <x:v>0</x:v>
      </x:c>
    </x:row>
    <x:row r="76" ht="21" customHeight="1">
      <x:c r="A76" s="6" t="n">
        <x:f>'Daily inputs'!A76</x:f>
        <x:v>45974</x:v>
      </x:c>
      <x:c r="B76" s="2" t="str">
        <x:f>'Daily inputs'!B76</x:f>
        <x:v>I03</x:v>
      </x:c>
      <x:c r="C76" s="2" t="n">
        <x:f>'Daily inputs'!C76</x:f>
        <x:v>4</x:v>
      </x:c>
      <x:c r="D76" s="2" t="str">
        <x:f>'Daily inputs'!D76</x:f>
        <x:v>Training</x:v>
      </x:c>
      <x:c r="E76" s="7" t="n">
        <x:f>'Daily inputs'!E76</x:f>
        <x:v>7.5</x:v>
      </x:c>
      <x:c r="F76" s="2" t="n">
        <x:f>'Daily inputs'!F76</x:f>
        <x:v>34</x:v>
      </x:c>
      <x:c r="G76" s="2" t="n">
        <x:f>'Daily inputs'!G76</x:f>
        <x:v>5</x:v>
      </x:c>
      <x:c r="H76" s="2" t="n">
        <x:f>'Daily inputs'!H76</x:f>
        <x:v>34</x:v>
      </x:c>
      <x:c r="I76" s="2" t="n">
        <x:f>'Daily inputs'!I76</x:f>
        <x:v>0</x:v>
      </x:c>
      <x:c r="J76" s="2" t="n">
        <x:f>'Daily inputs'!J76</x:f>
        <x:v>0</x:v>
      </x:c>
      <x:c r="K76" s="2" t="n">
        <x:f>'Daily inputs'!K76</x:f>
        <x:v>0</x:v>
      </x:c>
      <x:c r="L76" s="2" t="n">
        <x:f>MIN(F76,G76+H76-I76)</x:f>
        <x:v>34</x:v>
      </x:c>
      <x:c r="M76" s="2" t="n">
        <x:f>G76+H76-L76-I76</x:f>
        <x:v>5</x:v>
      </x:c>
      <x:c r="N76" s="2" t="n">
        <x:f>F76-L76</x:f>
        <x:v>0</x:v>
      </x:c>
      <x:c r="O76" s="2" t="n">
        <x:f>N76-J76</x:f>
        <x:v>0</x:v>
      </x:c>
      <x:c r="P76" s="2" t="n">
        <x:f>L76+I76</x:f>
        <x:v>34</x:v>
      </x:c>
      <x:c r="Q76" s="8" t="n">
        <x:f>P76*E76</x:f>
        <x:v>255</x:v>
      </x:c>
      <x:c r="R76" s="8" t="n">
        <x:f>I76*E76</x:f>
        <x:v>0</x:v>
      </x:c>
      <x:c r="S76" s="8" t="n">
        <x:f>O76*E76</x:f>
        <x:v>0</x:v>
      </x:c>
      <x:c r="T76" s="2" t="str">
        <x:f>IF(A76&lt;DATE(2025,12,1),"",IF(D76="Closed",0,ROUND(AVERAGEIFS('Daily inputs'!$F$2:$F$367,'Daily inputs'!$B$2:$B$367,B76,'Daily inputs'!$C$2:$C$367,C76,'Daily inputs'!$D$2:$D$367,"Training"),0)))</x:f>
      </x:c>
      <x:c r="U76" s="2" t="str">
        <x:f>IF(A76&lt;DATE(2025,12,1),"",ROUND(T76*IF(D76="Christmas",Notes!$B$9,Notes!$B$8),0))</x:f>
      </x:c>
      <x:c r="V76" s="2" t="str">
        <x:f>IF(A76&lt;DATE(2025,12,1),"",ABS(T76-F76))</x:f>
      </x:c>
      <x:c r="W76" s="2" t="str">
        <x:f>IF(A76&lt;DATE(2025,12,1),"",ABS(U76-F76))</x:f>
      </x:c>
      <x:c r="X76" s="2" t="str">
        <x:f>IF(A76&lt;DATE(2025,12,1),"",T76-F76)</x:f>
      </x:c>
      <x:c r="Y76" s="2" t="str">
        <x:f>IF(A76&lt;DATE(2025,12,1),"",U76-F76)</x:f>
      </x:c>
      <x:c r="Z76" s="2" t="n">
        <x:f>IF(N76&gt;0,1,0)</x:f>
        <x:v>0</x:v>
      </x:c>
    </x:row>
    <x:row r="77" ht="21" customHeight="1">
      <x:c r="A77" s="6" t="n">
        <x:f>'Daily inputs'!A77</x:f>
        <x:v>45974</x:v>
      </x:c>
      <x:c r="B77" s="2" t="str">
        <x:f>'Daily inputs'!B77</x:f>
        <x:v>I04</x:v>
      </x:c>
      <x:c r="C77" s="2" t="n">
        <x:f>'Daily inputs'!C77</x:f>
        <x:v>4</x:v>
      </x:c>
      <x:c r="D77" s="2" t="str">
        <x:f>'Daily inputs'!D77</x:f>
        <x:v>Training</x:v>
      </x:c>
      <x:c r="E77" s="7" t="n">
        <x:f>'Daily inputs'!E77</x:f>
        <x:v>9</x:v>
      </x:c>
      <x:c r="F77" s="2" t="n">
        <x:f>'Daily inputs'!F77</x:f>
        <x:v>38</x:v>
      </x:c>
      <x:c r="G77" s="2" t="n">
        <x:f>'Daily inputs'!G77</x:f>
        <x:v>6</x:v>
      </x:c>
      <x:c r="H77" s="2" t="n">
        <x:f>'Daily inputs'!H77</x:f>
        <x:v>38</x:v>
      </x:c>
      <x:c r="I77" s="2" t="n">
        <x:f>'Daily inputs'!I77</x:f>
        <x:v>0</x:v>
      </x:c>
      <x:c r="J77" s="2" t="n">
        <x:f>'Daily inputs'!J77</x:f>
        <x:v>0</x:v>
      </x:c>
      <x:c r="K77" s="2" t="n">
        <x:f>'Daily inputs'!K77</x:f>
        <x:v>0</x:v>
      </x:c>
      <x:c r="L77" s="2" t="n">
        <x:f>MIN(F77,G77+H77-I77)</x:f>
        <x:v>38</x:v>
      </x:c>
      <x:c r="M77" s="2" t="n">
        <x:f>G77+H77-L77-I77</x:f>
        <x:v>6</x:v>
      </x:c>
      <x:c r="N77" s="2" t="n">
        <x:f>F77-L77</x:f>
        <x:v>0</x:v>
      </x:c>
      <x:c r="O77" s="2" t="n">
        <x:f>N77-J77</x:f>
        <x:v>0</x:v>
      </x:c>
      <x:c r="P77" s="2" t="n">
        <x:f>L77+I77</x:f>
        <x:v>38</x:v>
      </x:c>
      <x:c r="Q77" s="8" t="n">
        <x:f>P77*E77</x:f>
        <x:v>342</x:v>
      </x:c>
      <x:c r="R77" s="8" t="n">
        <x:f>I77*E77</x:f>
        <x:v>0</x:v>
      </x:c>
      <x:c r="S77" s="8" t="n">
        <x:f>O77*E77</x:f>
        <x:v>0</x:v>
      </x:c>
      <x:c r="T77" s="2" t="str">
        <x:f>IF(A77&lt;DATE(2025,12,1),"",IF(D77="Closed",0,ROUND(AVERAGEIFS('Daily inputs'!$F$2:$F$367,'Daily inputs'!$B$2:$B$367,B77,'Daily inputs'!$C$2:$C$367,C77,'Daily inputs'!$D$2:$D$367,"Training"),0)))</x:f>
      </x:c>
      <x:c r="U77" s="2" t="str">
        <x:f>IF(A77&lt;DATE(2025,12,1),"",ROUND(T77*IF(D77="Christmas",Notes!$B$9,Notes!$B$8),0))</x:f>
      </x:c>
      <x:c r="V77" s="2" t="str">
        <x:f>IF(A77&lt;DATE(2025,12,1),"",ABS(T77-F77))</x:f>
      </x:c>
      <x:c r="W77" s="2" t="str">
        <x:f>IF(A77&lt;DATE(2025,12,1),"",ABS(U77-F77))</x:f>
      </x:c>
      <x:c r="X77" s="2" t="str">
        <x:f>IF(A77&lt;DATE(2025,12,1),"",T77-F77)</x:f>
      </x:c>
      <x:c r="Y77" s="2" t="str">
        <x:f>IF(A77&lt;DATE(2025,12,1),"",U77-F77)</x:f>
      </x:c>
      <x:c r="Z77" s="2" t="n">
        <x:f>IF(N77&gt;0,1,0)</x:f>
        <x:v>0</x:v>
      </x:c>
    </x:row>
    <x:row r="78" ht="21" customHeight="1">
      <x:c r="A78" s="6" t="n">
        <x:f>'Daily inputs'!A78</x:f>
        <x:v>45974</x:v>
      </x:c>
      <x:c r="B78" s="2" t="str">
        <x:f>'Daily inputs'!B78</x:f>
        <x:v>I05</x:v>
      </x:c>
      <x:c r="C78" s="2" t="n">
        <x:f>'Daily inputs'!C78</x:f>
        <x:v>4</x:v>
      </x:c>
      <x:c r="D78" s="2" t="str">
        <x:f>'Daily inputs'!D78</x:f>
        <x:v>Training</x:v>
      </x:c>
      <x:c r="E78" s="7" t="n">
        <x:f>'Daily inputs'!E78</x:f>
        <x:v>3.5</x:v>
      </x:c>
      <x:c r="F78" s="2" t="n">
        <x:f>'Daily inputs'!F78</x:f>
        <x:v>86</x:v>
      </x:c>
      <x:c r="G78" s="2" t="n">
        <x:f>'Daily inputs'!G78</x:f>
        <x:v>11</x:v>
      </x:c>
      <x:c r="H78" s="2" t="n">
        <x:f>'Daily inputs'!H78</x:f>
        <x:v>88</x:v>
      </x:c>
      <x:c r="I78" s="2" t="n">
        <x:f>'Daily inputs'!I78</x:f>
        <x:v>0</x:v>
      </x:c>
      <x:c r="J78" s="2" t="n">
        <x:f>'Daily inputs'!J78</x:f>
        <x:v>0</x:v>
      </x:c>
      <x:c r="K78" s="2" t="n">
        <x:f>'Daily inputs'!K78</x:f>
        <x:v>0</x:v>
      </x:c>
      <x:c r="L78" s="2" t="n">
        <x:f>MIN(F78,G78+H78-I78)</x:f>
        <x:v>86</x:v>
      </x:c>
      <x:c r="M78" s="2" t="n">
        <x:f>G78+H78-L78-I78</x:f>
        <x:v>13</x:v>
      </x:c>
      <x:c r="N78" s="2" t="n">
        <x:f>F78-L78</x:f>
        <x:v>0</x:v>
      </x:c>
      <x:c r="O78" s="2" t="n">
        <x:f>N78-J78</x:f>
        <x:v>0</x:v>
      </x:c>
      <x:c r="P78" s="2" t="n">
        <x:f>L78+I78</x:f>
        <x:v>86</x:v>
      </x:c>
      <x:c r="Q78" s="8" t="n">
        <x:f>P78*E78</x:f>
        <x:v>301</x:v>
      </x:c>
      <x:c r="R78" s="8" t="n">
        <x:f>I78*E78</x:f>
        <x:v>0</x:v>
      </x:c>
      <x:c r="S78" s="8" t="n">
        <x:f>O78*E78</x:f>
        <x:v>0</x:v>
      </x:c>
      <x:c r="T78" s="2" t="str">
        <x:f>IF(A78&lt;DATE(2025,12,1),"",IF(D78="Closed",0,ROUND(AVERAGEIFS('Daily inputs'!$F$2:$F$367,'Daily inputs'!$B$2:$B$367,B78,'Daily inputs'!$C$2:$C$367,C78,'Daily inputs'!$D$2:$D$367,"Training"),0)))</x:f>
      </x:c>
      <x:c r="U78" s="2" t="str">
        <x:f>IF(A78&lt;DATE(2025,12,1),"",ROUND(T78*IF(D78="Christmas",Notes!$B$9,Notes!$B$8),0))</x:f>
      </x:c>
      <x:c r="V78" s="2" t="str">
        <x:f>IF(A78&lt;DATE(2025,12,1),"",ABS(T78-F78))</x:f>
      </x:c>
      <x:c r="W78" s="2" t="str">
        <x:f>IF(A78&lt;DATE(2025,12,1),"",ABS(U78-F78))</x:f>
      </x:c>
      <x:c r="X78" s="2" t="str">
        <x:f>IF(A78&lt;DATE(2025,12,1),"",T78-F78)</x:f>
      </x:c>
      <x:c r="Y78" s="2" t="str">
        <x:f>IF(A78&lt;DATE(2025,12,1),"",U78-F78)</x:f>
      </x:c>
      <x:c r="Z78" s="2" t="n">
        <x:f>IF(N78&gt;0,1,0)</x:f>
        <x:v>0</x:v>
      </x:c>
    </x:row>
    <x:row r="79" ht="21" customHeight="1">
      <x:c r="A79" s="6" t="n">
        <x:f>'Daily inputs'!A79</x:f>
        <x:v>45974</x:v>
      </x:c>
      <x:c r="B79" s="2" t="str">
        <x:f>'Daily inputs'!B79</x:f>
        <x:v>I06</x:v>
      </x:c>
      <x:c r="C79" s="2" t="n">
        <x:f>'Daily inputs'!C79</x:f>
        <x:v>4</x:v>
      </x:c>
      <x:c r="D79" s="2" t="str">
        <x:f>'Daily inputs'!D79</x:f>
        <x:v>Training</x:v>
      </x:c>
      <x:c r="E79" s="7" t="n">
        <x:f>'Daily inputs'!E79</x:f>
        <x:v>3</x:v>
      </x:c>
      <x:c r="F79" s="2" t="n">
        <x:f>'Daily inputs'!F79</x:f>
        <x:v>32</x:v>
      </x:c>
      <x:c r="G79" s="2" t="n">
        <x:f>'Daily inputs'!G79</x:f>
        <x:v>5</x:v>
      </x:c>
      <x:c r="H79" s="2" t="n">
        <x:f>'Daily inputs'!H79</x:f>
        <x:v>32</x:v>
      </x:c>
      <x:c r="I79" s="2" t="n">
        <x:f>'Daily inputs'!I79</x:f>
        <x:v>0</x:v>
      </x:c>
      <x:c r="J79" s="2" t="n">
        <x:f>'Daily inputs'!J79</x:f>
        <x:v>0</x:v>
      </x:c>
      <x:c r="K79" s="2" t="n">
        <x:f>'Daily inputs'!K79</x:f>
        <x:v>0</x:v>
      </x:c>
      <x:c r="L79" s="2" t="n">
        <x:f>MIN(F79,G79+H79-I79)</x:f>
        <x:v>32</x:v>
      </x:c>
      <x:c r="M79" s="2" t="n">
        <x:f>G79+H79-L79-I79</x:f>
        <x:v>5</x:v>
      </x:c>
      <x:c r="N79" s="2" t="n">
        <x:f>F79-L79</x:f>
        <x:v>0</x:v>
      </x:c>
      <x:c r="O79" s="2" t="n">
        <x:f>N79-J79</x:f>
        <x:v>0</x:v>
      </x:c>
      <x:c r="P79" s="2" t="n">
        <x:f>L79+I79</x:f>
        <x:v>32</x:v>
      </x:c>
      <x:c r="Q79" s="8" t="n">
        <x:f>P79*E79</x:f>
        <x:v>96</x:v>
      </x:c>
      <x:c r="R79" s="8" t="n">
        <x:f>I79*E79</x:f>
        <x:v>0</x:v>
      </x:c>
      <x:c r="S79" s="8" t="n">
        <x:f>O79*E79</x:f>
        <x:v>0</x:v>
      </x:c>
      <x:c r="T79" s="2" t="str">
        <x:f>IF(A79&lt;DATE(2025,12,1),"",IF(D79="Closed",0,ROUND(AVERAGEIFS('Daily inputs'!$F$2:$F$367,'Daily inputs'!$B$2:$B$367,B79,'Daily inputs'!$C$2:$C$367,C79,'Daily inputs'!$D$2:$D$367,"Training"),0)))</x:f>
      </x:c>
      <x:c r="U79" s="2" t="str">
        <x:f>IF(A79&lt;DATE(2025,12,1),"",ROUND(T79*IF(D79="Christmas",Notes!$B$9,Notes!$B$8),0))</x:f>
      </x:c>
      <x:c r="V79" s="2" t="str">
        <x:f>IF(A79&lt;DATE(2025,12,1),"",ABS(T79-F79))</x:f>
      </x:c>
      <x:c r="W79" s="2" t="str">
        <x:f>IF(A79&lt;DATE(2025,12,1),"",ABS(U79-F79))</x:f>
      </x:c>
      <x:c r="X79" s="2" t="str">
        <x:f>IF(A79&lt;DATE(2025,12,1),"",T79-F79)</x:f>
      </x:c>
      <x:c r="Y79" s="2" t="str">
        <x:f>IF(A79&lt;DATE(2025,12,1),"",U79-F79)</x:f>
      </x:c>
      <x:c r="Z79" s="2" t="n">
        <x:f>IF(N79&gt;0,1,0)</x:f>
        <x:v>0</x:v>
      </x:c>
    </x:row>
    <x:row r="80" ht="21" customHeight="1">
      <x:c r="A80" s="6" t="n">
        <x:f>'Daily inputs'!A80</x:f>
        <x:v>45975</x:v>
      </x:c>
      <x:c r="B80" s="2" t="str">
        <x:f>'Daily inputs'!B80</x:f>
        <x:v>I01</x:v>
      </x:c>
      <x:c r="C80" s="2" t="n">
        <x:f>'Daily inputs'!C80</x:f>
        <x:v>5</x:v>
      </x:c>
      <x:c r="D80" s="2" t="str">
        <x:f>'Daily inputs'!D80</x:f>
        <x:v>Training</x:v>
      </x:c>
      <x:c r="E80" s="7" t="n">
        <x:f>'Daily inputs'!E80</x:f>
        <x:v>8.5</x:v>
      </x:c>
      <x:c r="F80" s="2" t="n">
        <x:f>'Daily inputs'!F80</x:f>
        <x:v>83</x:v>
      </x:c>
      <x:c r="G80" s="2" t="n">
        <x:f>'Daily inputs'!G80</x:f>
        <x:v>10</x:v>
      </x:c>
      <x:c r="H80" s="2" t="n">
        <x:f>'Daily inputs'!H80</x:f>
        <x:v>85</x:v>
      </x:c>
      <x:c r="I80" s="2" t="n">
        <x:f>'Daily inputs'!I80</x:f>
        <x:v>0</x:v>
      </x:c>
      <x:c r="J80" s="2" t="n">
        <x:f>'Daily inputs'!J80</x:f>
        <x:v>0</x:v>
      </x:c>
      <x:c r="K80" s="2" t="n">
        <x:f>'Daily inputs'!K80</x:f>
        <x:v>0</x:v>
      </x:c>
      <x:c r="L80" s="2" t="n">
        <x:f>MIN(F80,G80+H80-I80)</x:f>
        <x:v>83</x:v>
      </x:c>
      <x:c r="M80" s="2" t="n">
        <x:f>G80+H80-L80-I80</x:f>
        <x:v>12</x:v>
      </x:c>
      <x:c r="N80" s="2" t="n">
        <x:f>F80-L80</x:f>
        <x:v>0</x:v>
      </x:c>
      <x:c r="O80" s="2" t="n">
        <x:f>N80-J80</x:f>
        <x:v>0</x:v>
      </x:c>
      <x:c r="P80" s="2" t="n">
        <x:f>L80+I80</x:f>
        <x:v>83</x:v>
      </x:c>
      <x:c r="Q80" s="8" t="n">
        <x:f>P80*E80</x:f>
        <x:v>705.5</x:v>
      </x:c>
      <x:c r="R80" s="8" t="n">
        <x:f>I80*E80</x:f>
        <x:v>0</x:v>
      </x:c>
      <x:c r="S80" s="8" t="n">
        <x:f>O80*E80</x:f>
        <x:v>0</x:v>
      </x:c>
      <x:c r="T80" s="2" t="str">
        <x:f>IF(A80&lt;DATE(2025,12,1),"",IF(D80="Closed",0,ROUND(AVERAGEIFS('Daily inputs'!$F$2:$F$367,'Daily inputs'!$B$2:$B$367,B80,'Daily inputs'!$C$2:$C$367,C80,'Daily inputs'!$D$2:$D$367,"Training"),0)))</x:f>
      </x:c>
      <x:c r="U80" s="2" t="str">
        <x:f>IF(A80&lt;DATE(2025,12,1),"",ROUND(T80*IF(D80="Christmas",Notes!$B$9,Notes!$B$8),0))</x:f>
      </x:c>
      <x:c r="V80" s="2" t="str">
        <x:f>IF(A80&lt;DATE(2025,12,1),"",ABS(T80-F80))</x:f>
      </x:c>
      <x:c r="W80" s="2" t="str">
        <x:f>IF(A80&lt;DATE(2025,12,1),"",ABS(U80-F80))</x:f>
      </x:c>
      <x:c r="X80" s="2" t="str">
        <x:f>IF(A80&lt;DATE(2025,12,1),"",T80-F80)</x:f>
      </x:c>
      <x:c r="Y80" s="2" t="str">
        <x:f>IF(A80&lt;DATE(2025,12,1),"",U80-F80)</x:f>
      </x:c>
      <x:c r="Z80" s="2" t="n">
        <x:f>IF(N80&gt;0,1,0)</x:f>
        <x:v>0</x:v>
      </x:c>
    </x:row>
    <x:row r="81" ht="21" customHeight="1">
      <x:c r="A81" s="6" t="n">
        <x:f>'Daily inputs'!A81</x:f>
        <x:v>45975</x:v>
      </x:c>
      <x:c r="B81" s="2" t="str">
        <x:f>'Daily inputs'!B81</x:f>
        <x:v>I02</x:v>
      </x:c>
      <x:c r="C81" s="2" t="n">
        <x:f>'Daily inputs'!C81</x:f>
        <x:v>5</x:v>
      </x:c>
      <x:c r="D81" s="2" t="str">
        <x:f>'Daily inputs'!D81</x:f>
        <x:v>Training</x:v>
      </x:c>
      <x:c r="E81" s="7" t="n">
        <x:f>'Daily inputs'!E81</x:f>
        <x:v>8</x:v>
      </x:c>
      <x:c r="F81" s="2" t="n">
        <x:f>'Daily inputs'!F81</x:f>
        <x:v>69</x:v>
      </x:c>
      <x:c r="G81" s="2" t="n">
        <x:f>'Daily inputs'!G81</x:f>
        <x:v>9</x:v>
      </x:c>
      <x:c r="H81" s="2" t="n">
        <x:f>'Daily inputs'!H81</x:f>
        <x:v>70</x:v>
      </x:c>
      <x:c r="I81" s="2" t="n">
        <x:f>'Daily inputs'!I81</x:f>
        <x:v>0</x:v>
      </x:c>
      <x:c r="J81" s="2" t="n">
        <x:f>'Daily inputs'!J81</x:f>
        <x:v>0</x:v>
      </x:c>
      <x:c r="K81" s="2" t="n">
        <x:f>'Daily inputs'!K81</x:f>
        <x:v>0</x:v>
      </x:c>
      <x:c r="L81" s="2" t="n">
        <x:f>MIN(F81,G81+H81-I81)</x:f>
        <x:v>69</x:v>
      </x:c>
      <x:c r="M81" s="2" t="n">
        <x:f>G81+H81-L81-I81</x:f>
        <x:v>10</x:v>
      </x:c>
      <x:c r="N81" s="2" t="n">
        <x:f>F81-L81</x:f>
        <x:v>0</x:v>
      </x:c>
      <x:c r="O81" s="2" t="n">
        <x:f>N81-J81</x:f>
        <x:v>0</x:v>
      </x:c>
      <x:c r="P81" s="2" t="n">
        <x:f>L81+I81</x:f>
        <x:v>69</x:v>
      </x:c>
      <x:c r="Q81" s="8" t="n">
        <x:f>P81*E81</x:f>
        <x:v>552</x:v>
      </x:c>
      <x:c r="R81" s="8" t="n">
        <x:f>I81*E81</x:f>
        <x:v>0</x:v>
      </x:c>
      <x:c r="S81" s="8" t="n">
        <x:f>O81*E81</x:f>
        <x:v>0</x:v>
      </x:c>
      <x:c r="T81" s="2" t="str">
        <x:f>IF(A81&lt;DATE(2025,12,1),"",IF(D81="Closed",0,ROUND(AVERAGEIFS('Daily inputs'!$F$2:$F$367,'Daily inputs'!$B$2:$B$367,B81,'Daily inputs'!$C$2:$C$367,C81,'Daily inputs'!$D$2:$D$367,"Training"),0)))</x:f>
      </x:c>
      <x:c r="U81" s="2" t="str">
        <x:f>IF(A81&lt;DATE(2025,12,1),"",ROUND(T81*IF(D81="Christmas",Notes!$B$9,Notes!$B$8),0))</x:f>
      </x:c>
      <x:c r="V81" s="2" t="str">
        <x:f>IF(A81&lt;DATE(2025,12,1),"",ABS(T81-F81))</x:f>
      </x:c>
      <x:c r="W81" s="2" t="str">
        <x:f>IF(A81&lt;DATE(2025,12,1),"",ABS(U81-F81))</x:f>
      </x:c>
      <x:c r="X81" s="2" t="str">
        <x:f>IF(A81&lt;DATE(2025,12,1),"",T81-F81)</x:f>
      </x:c>
      <x:c r="Y81" s="2" t="str">
        <x:f>IF(A81&lt;DATE(2025,12,1),"",U81-F81)</x:f>
      </x:c>
      <x:c r="Z81" s="2" t="n">
        <x:f>IF(N81&gt;0,1,0)</x:f>
        <x:v>0</x:v>
      </x:c>
    </x:row>
    <x:row r="82" ht="21" customHeight="1">
      <x:c r="A82" s="6" t="n">
        <x:f>'Daily inputs'!A82</x:f>
        <x:v>45975</x:v>
      </x:c>
      <x:c r="B82" s="2" t="str">
        <x:f>'Daily inputs'!B82</x:f>
        <x:v>I03</x:v>
      </x:c>
      <x:c r="C82" s="2" t="n">
        <x:f>'Daily inputs'!C82</x:f>
        <x:v>5</x:v>
      </x:c>
      <x:c r="D82" s="2" t="str">
        <x:f>'Daily inputs'!D82</x:f>
        <x:v>Training</x:v>
      </x:c>
      <x:c r="E82" s="7" t="n">
        <x:f>'Daily inputs'!E82</x:f>
        <x:v>7.5</x:v>
      </x:c>
      <x:c r="F82" s="2" t="n">
        <x:f>'Daily inputs'!F82</x:f>
        <x:v>41</x:v>
      </x:c>
      <x:c r="G82" s="2" t="n">
        <x:f>'Daily inputs'!G82</x:f>
        <x:v>5</x:v>
      </x:c>
      <x:c r="H82" s="2" t="n">
        <x:f>'Daily inputs'!H82</x:f>
        <x:v>42</x:v>
      </x:c>
      <x:c r="I82" s="2" t="n">
        <x:f>'Daily inputs'!I82</x:f>
        <x:v>0</x:v>
      </x:c>
      <x:c r="J82" s="2" t="n">
        <x:f>'Daily inputs'!J82</x:f>
        <x:v>0</x:v>
      </x:c>
      <x:c r="K82" s="2" t="n">
        <x:f>'Daily inputs'!K82</x:f>
        <x:v>0</x:v>
      </x:c>
      <x:c r="L82" s="2" t="n">
        <x:f>MIN(F82,G82+H82-I82)</x:f>
        <x:v>41</x:v>
      </x:c>
      <x:c r="M82" s="2" t="n">
        <x:f>G82+H82-L82-I82</x:f>
        <x:v>6</x:v>
      </x:c>
      <x:c r="N82" s="2" t="n">
        <x:f>F82-L82</x:f>
        <x:v>0</x:v>
      </x:c>
      <x:c r="O82" s="2" t="n">
        <x:f>N82-J82</x:f>
        <x:v>0</x:v>
      </x:c>
      <x:c r="P82" s="2" t="n">
        <x:f>L82+I82</x:f>
        <x:v>41</x:v>
      </x:c>
      <x:c r="Q82" s="8" t="n">
        <x:f>P82*E82</x:f>
        <x:v>307.5</x:v>
      </x:c>
      <x:c r="R82" s="8" t="n">
        <x:f>I82*E82</x:f>
        <x:v>0</x:v>
      </x:c>
      <x:c r="S82" s="8" t="n">
        <x:f>O82*E82</x:f>
        <x:v>0</x:v>
      </x:c>
      <x:c r="T82" s="2" t="str">
        <x:f>IF(A82&lt;DATE(2025,12,1),"",IF(D82="Closed",0,ROUND(AVERAGEIFS('Daily inputs'!$F$2:$F$367,'Daily inputs'!$B$2:$B$367,B82,'Daily inputs'!$C$2:$C$367,C82,'Daily inputs'!$D$2:$D$367,"Training"),0)))</x:f>
      </x:c>
      <x:c r="U82" s="2" t="str">
        <x:f>IF(A82&lt;DATE(2025,12,1),"",ROUND(T82*IF(D82="Christmas",Notes!$B$9,Notes!$B$8),0))</x:f>
      </x:c>
      <x:c r="V82" s="2" t="str">
        <x:f>IF(A82&lt;DATE(2025,12,1),"",ABS(T82-F82))</x:f>
      </x:c>
      <x:c r="W82" s="2" t="str">
        <x:f>IF(A82&lt;DATE(2025,12,1),"",ABS(U82-F82))</x:f>
      </x:c>
      <x:c r="X82" s="2" t="str">
        <x:f>IF(A82&lt;DATE(2025,12,1),"",T82-F82)</x:f>
      </x:c>
      <x:c r="Y82" s="2" t="str">
        <x:f>IF(A82&lt;DATE(2025,12,1),"",U82-F82)</x:f>
      </x:c>
      <x:c r="Z82" s="2" t="n">
        <x:f>IF(N82&gt;0,1,0)</x:f>
        <x:v>0</x:v>
      </x:c>
    </x:row>
    <x:row r="83" ht="21" customHeight="1">
      <x:c r="A83" s="6" t="n">
        <x:f>'Daily inputs'!A83</x:f>
        <x:v>45975</x:v>
      </x:c>
      <x:c r="B83" s="2" t="str">
        <x:f>'Daily inputs'!B83</x:f>
        <x:v>I04</x:v>
      </x:c>
      <x:c r="C83" s="2" t="n">
        <x:f>'Daily inputs'!C83</x:f>
        <x:v>5</x:v>
      </x:c>
      <x:c r="D83" s="2" t="str">
        <x:f>'Daily inputs'!D83</x:f>
        <x:v>Training</x:v>
      </x:c>
      <x:c r="E83" s="7" t="n">
        <x:f>'Daily inputs'!E83</x:f>
        <x:v>9</x:v>
      </x:c>
      <x:c r="F83" s="2" t="n">
        <x:f>'Daily inputs'!F83</x:f>
        <x:v>48</x:v>
      </x:c>
      <x:c r="G83" s="2" t="n">
        <x:f>'Daily inputs'!G83</x:f>
        <x:v>6</x:v>
      </x:c>
      <x:c r="H83" s="2" t="n">
        <x:f>'Daily inputs'!H83</x:f>
        <x:v>49</x:v>
      </x:c>
      <x:c r="I83" s="2" t="n">
        <x:f>'Daily inputs'!I83</x:f>
        <x:v>0</x:v>
      </x:c>
      <x:c r="J83" s="2" t="n">
        <x:f>'Daily inputs'!J83</x:f>
        <x:v>0</x:v>
      </x:c>
      <x:c r="K83" s="2" t="n">
        <x:f>'Daily inputs'!K83</x:f>
        <x:v>0</x:v>
      </x:c>
      <x:c r="L83" s="2" t="n">
        <x:f>MIN(F83,G83+H83-I83)</x:f>
        <x:v>48</x:v>
      </x:c>
      <x:c r="M83" s="2" t="n">
        <x:f>G83+H83-L83-I83</x:f>
        <x:v>7</x:v>
      </x:c>
      <x:c r="N83" s="2" t="n">
        <x:f>F83-L83</x:f>
        <x:v>0</x:v>
      </x:c>
      <x:c r="O83" s="2" t="n">
        <x:f>N83-J83</x:f>
        <x:v>0</x:v>
      </x:c>
      <x:c r="P83" s="2" t="n">
        <x:f>L83+I83</x:f>
        <x:v>48</x:v>
      </x:c>
      <x:c r="Q83" s="8" t="n">
        <x:f>P83*E83</x:f>
        <x:v>432</x:v>
      </x:c>
      <x:c r="R83" s="8" t="n">
        <x:f>I83*E83</x:f>
        <x:v>0</x:v>
      </x:c>
      <x:c r="S83" s="8" t="n">
        <x:f>O83*E83</x:f>
        <x:v>0</x:v>
      </x:c>
      <x:c r="T83" s="2" t="str">
        <x:f>IF(A83&lt;DATE(2025,12,1),"",IF(D83="Closed",0,ROUND(AVERAGEIFS('Daily inputs'!$F$2:$F$367,'Daily inputs'!$B$2:$B$367,B83,'Daily inputs'!$C$2:$C$367,C83,'Daily inputs'!$D$2:$D$367,"Training"),0)))</x:f>
      </x:c>
      <x:c r="U83" s="2" t="str">
        <x:f>IF(A83&lt;DATE(2025,12,1),"",ROUND(T83*IF(D83="Christmas",Notes!$B$9,Notes!$B$8),0))</x:f>
      </x:c>
      <x:c r="V83" s="2" t="str">
        <x:f>IF(A83&lt;DATE(2025,12,1),"",ABS(T83-F83))</x:f>
      </x:c>
      <x:c r="W83" s="2" t="str">
        <x:f>IF(A83&lt;DATE(2025,12,1),"",ABS(U83-F83))</x:f>
      </x:c>
      <x:c r="X83" s="2" t="str">
        <x:f>IF(A83&lt;DATE(2025,12,1),"",T83-F83)</x:f>
      </x:c>
      <x:c r="Y83" s="2" t="str">
        <x:f>IF(A83&lt;DATE(2025,12,1),"",U83-F83)</x:f>
      </x:c>
      <x:c r="Z83" s="2" t="n">
        <x:f>IF(N83&gt;0,1,0)</x:f>
        <x:v>0</x:v>
      </x:c>
    </x:row>
    <x:row r="84" ht="21" customHeight="1">
      <x:c r="A84" s="6" t="n">
        <x:f>'Daily inputs'!A84</x:f>
        <x:v>45975</x:v>
      </x:c>
      <x:c r="B84" s="2" t="str">
        <x:f>'Daily inputs'!B84</x:f>
        <x:v>I05</x:v>
      </x:c>
      <x:c r="C84" s="2" t="n">
        <x:f>'Daily inputs'!C84</x:f>
        <x:v>5</x:v>
      </x:c>
      <x:c r="D84" s="2" t="str">
        <x:f>'Daily inputs'!D84</x:f>
        <x:v>Training</x:v>
      </x:c>
      <x:c r="E84" s="7" t="n">
        <x:f>'Daily inputs'!E84</x:f>
        <x:v>3.5</x:v>
      </x:c>
      <x:c r="F84" s="2" t="n">
        <x:f>'Daily inputs'!F84</x:f>
        <x:v>102</x:v>
      </x:c>
      <x:c r="G84" s="2" t="n">
        <x:f>'Daily inputs'!G84</x:f>
        <x:v>13</x:v>
      </x:c>
      <x:c r="H84" s="2" t="n">
        <x:f>'Daily inputs'!H84</x:f>
        <x:v>104</x:v>
      </x:c>
      <x:c r="I84" s="2" t="n">
        <x:f>'Daily inputs'!I84</x:f>
        <x:v>0</x:v>
      </x:c>
      <x:c r="J84" s="2" t="n">
        <x:f>'Daily inputs'!J84</x:f>
        <x:v>0</x:v>
      </x:c>
      <x:c r="K84" s="2" t="n">
        <x:f>'Daily inputs'!K84</x:f>
        <x:v>0</x:v>
      </x:c>
      <x:c r="L84" s="2" t="n">
        <x:f>MIN(F84,G84+H84-I84)</x:f>
        <x:v>102</x:v>
      </x:c>
      <x:c r="M84" s="2" t="n">
        <x:f>G84+H84-L84-I84</x:f>
        <x:v>15</x:v>
      </x:c>
      <x:c r="N84" s="2" t="n">
        <x:f>F84-L84</x:f>
        <x:v>0</x:v>
      </x:c>
      <x:c r="O84" s="2" t="n">
        <x:f>N84-J84</x:f>
        <x:v>0</x:v>
      </x:c>
      <x:c r="P84" s="2" t="n">
        <x:f>L84+I84</x:f>
        <x:v>102</x:v>
      </x:c>
      <x:c r="Q84" s="8" t="n">
        <x:f>P84*E84</x:f>
        <x:v>357</x:v>
      </x:c>
      <x:c r="R84" s="8" t="n">
        <x:f>I84*E84</x:f>
        <x:v>0</x:v>
      </x:c>
      <x:c r="S84" s="8" t="n">
        <x:f>O84*E84</x:f>
        <x:v>0</x:v>
      </x:c>
      <x:c r="T84" s="2" t="str">
        <x:f>IF(A84&lt;DATE(2025,12,1),"",IF(D84="Closed",0,ROUND(AVERAGEIFS('Daily inputs'!$F$2:$F$367,'Daily inputs'!$B$2:$B$367,B84,'Daily inputs'!$C$2:$C$367,C84,'Daily inputs'!$D$2:$D$367,"Training"),0)))</x:f>
      </x:c>
      <x:c r="U84" s="2" t="str">
        <x:f>IF(A84&lt;DATE(2025,12,1),"",ROUND(T84*IF(D84="Christmas",Notes!$B$9,Notes!$B$8),0))</x:f>
      </x:c>
      <x:c r="V84" s="2" t="str">
        <x:f>IF(A84&lt;DATE(2025,12,1),"",ABS(T84-F84))</x:f>
      </x:c>
      <x:c r="W84" s="2" t="str">
        <x:f>IF(A84&lt;DATE(2025,12,1),"",ABS(U84-F84))</x:f>
      </x:c>
      <x:c r="X84" s="2" t="str">
        <x:f>IF(A84&lt;DATE(2025,12,1),"",T84-F84)</x:f>
      </x:c>
      <x:c r="Y84" s="2" t="str">
        <x:f>IF(A84&lt;DATE(2025,12,1),"",U84-F84)</x:f>
      </x:c>
      <x:c r="Z84" s="2" t="n">
        <x:f>IF(N84&gt;0,1,0)</x:f>
        <x:v>0</x:v>
      </x:c>
    </x:row>
    <x:row r="85" ht="21" customHeight="1">
      <x:c r="A85" s="6" t="n">
        <x:f>'Daily inputs'!A85</x:f>
        <x:v>45975</x:v>
      </x:c>
      <x:c r="B85" s="2" t="str">
        <x:f>'Daily inputs'!B85</x:f>
        <x:v>I06</x:v>
      </x:c>
      <x:c r="C85" s="2" t="n">
        <x:f>'Daily inputs'!C85</x:f>
        <x:v>5</x:v>
      </x:c>
      <x:c r="D85" s="2" t="str">
        <x:f>'Daily inputs'!D85</x:f>
        <x:v>Training</x:v>
      </x:c>
      <x:c r="E85" s="7" t="n">
        <x:f>'Daily inputs'!E85</x:f>
        <x:v>3</x:v>
      </x:c>
      <x:c r="F85" s="2" t="n">
        <x:f>'Daily inputs'!F85</x:f>
        <x:v>38</x:v>
      </x:c>
      <x:c r="G85" s="2" t="n">
        <x:f>'Daily inputs'!G85</x:f>
        <x:v>5</x:v>
      </x:c>
      <x:c r="H85" s="2" t="n">
        <x:f>'Daily inputs'!H85</x:f>
        <x:v>39</x:v>
      </x:c>
      <x:c r="I85" s="2" t="n">
        <x:f>'Daily inputs'!I85</x:f>
        <x:v>0</x:v>
      </x:c>
      <x:c r="J85" s="2" t="n">
        <x:f>'Daily inputs'!J85</x:f>
        <x:v>0</x:v>
      </x:c>
      <x:c r="K85" s="2" t="n">
        <x:f>'Daily inputs'!K85</x:f>
        <x:v>0</x:v>
      </x:c>
      <x:c r="L85" s="2" t="n">
        <x:f>MIN(F85,G85+H85-I85)</x:f>
        <x:v>38</x:v>
      </x:c>
      <x:c r="M85" s="2" t="n">
        <x:f>G85+H85-L85-I85</x:f>
        <x:v>6</x:v>
      </x:c>
      <x:c r="N85" s="2" t="n">
        <x:f>F85-L85</x:f>
        <x:v>0</x:v>
      </x:c>
      <x:c r="O85" s="2" t="n">
        <x:f>N85-J85</x:f>
        <x:v>0</x:v>
      </x:c>
      <x:c r="P85" s="2" t="n">
        <x:f>L85+I85</x:f>
        <x:v>38</x:v>
      </x:c>
      <x:c r="Q85" s="8" t="n">
        <x:f>P85*E85</x:f>
        <x:v>114</x:v>
      </x:c>
      <x:c r="R85" s="8" t="n">
        <x:f>I85*E85</x:f>
        <x:v>0</x:v>
      </x:c>
      <x:c r="S85" s="8" t="n">
        <x:f>O85*E85</x:f>
        <x:v>0</x:v>
      </x:c>
      <x:c r="T85" s="2" t="str">
        <x:f>IF(A85&lt;DATE(2025,12,1),"",IF(D85="Closed",0,ROUND(AVERAGEIFS('Daily inputs'!$F$2:$F$367,'Daily inputs'!$B$2:$B$367,B85,'Daily inputs'!$C$2:$C$367,C85,'Daily inputs'!$D$2:$D$367,"Training"),0)))</x:f>
      </x:c>
      <x:c r="U85" s="2" t="str">
        <x:f>IF(A85&lt;DATE(2025,12,1),"",ROUND(T85*IF(D85="Christmas",Notes!$B$9,Notes!$B$8),0))</x:f>
      </x:c>
      <x:c r="V85" s="2" t="str">
        <x:f>IF(A85&lt;DATE(2025,12,1),"",ABS(T85-F85))</x:f>
      </x:c>
      <x:c r="W85" s="2" t="str">
        <x:f>IF(A85&lt;DATE(2025,12,1),"",ABS(U85-F85))</x:f>
      </x:c>
      <x:c r="X85" s="2" t="str">
        <x:f>IF(A85&lt;DATE(2025,12,1),"",T85-F85)</x:f>
      </x:c>
      <x:c r="Y85" s="2" t="str">
        <x:f>IF(A85&lt;DATE(2025,12,1),"",U85-F85)</x:f>
      </x:c>
      <x:c r="Z85" s="2" t="n">
        <x:f>IF(N85&gt;0,1,0)</x:f>
        <x:v>0</x:v>
      </x:c>
    </x:row>
    <x:row r="86" ht="21" customHeight="1">
      <x:c r="A86" s="6" t="n">
        <x:f>'Daily inputs'!A86</x:f>
        <x:v>45976</x:v>
      </x:c>
      <x:c r="B86" s="2" t="str">
        <x:f>'Daily inputs'!B86</x:f>
        <x:v>I01</x:v>
      </x:c>
      <x:c r="C86" s="2" t="n">
        <x:f>'Daily inputs'!C86</x:f>
        <x:v>6</x:v>
      </x:c>
      <x:c r="D86" s="2" t="str">
        <x:f>'Daily inputs'!D86</x:f>
        <x:v>Training</x:v>
      </x:c>
      <x:c r="E86" s="7" t="n">
        <x:f>'Daily inputs'!E86</x:f>
        <x:v>8.5</x:v>
      </x:c>
      <x:c r="F86" s="2" t="n">
        <x:f>'Daily inputs'!F86</x:f>
        <x:v>95</x:v>
      </x:c>
      <x:c r="G86" s="2" t="n">
        <x:f>'Daily inputs'!G86</x:f>
        <x:v>12</x:v>
      </x:c>
      <x:c r="H86" s="2" t="n">
        <x:f>'Daily inputs'!H86</x:f>
        <x:v>97</x:v>
      </x:c>
      <x:c r="I86" s="2" t="n">
        <x:f>'Daily inputs'!I86</x:f>
        <x:v>0</x:v>
      </x:c>
      <x:c r="J86" s="2" t="n">
        <x:f>'Daily inputs'!J86</x:f>
        <x:v>0</x:v>
      </x:c>
      <x:c r="K86" s="2" t="n">
        <x:f>'Daily inputs'!K86</x:f>
        <x:v>0</x:v>
      </x:c>
      <x:c r="L86" s="2" t="n">
        <x:f>MIN(F86,G86+H86-I86)</x:f>
        <x:v>95</x:v>
      </x:c>
      <x:c r="M86" s="2" t="n">
        <x:f>G86+H86-L86-I86</x:f>
        <x:v>14</x:v>
      </x:c>
      <x:c r="N86" s="2" t="n">
        <x:f>F86-L86</x:f>
        <x:v>0</x:v>
      </x:c>
      <x:c r="O86" s="2" t="n">
        <x:f>N86-J86</x:f>
        <x:v>0</x:v>
      </x:c>
      <x:c r="P86" s="2" t="n">
        <x:f>L86+I86</x:f>
        <x:v>95</x:v>
      </x:c>
      <x:c r="Q86" s="8" t="n">
        <x:f>P86*E86</x:f>
        <x:v>807.5</x:v>
      </x:c>
      <x:c r="R86" s="8" t="n">
        <x:f>I86*E86</x:f>
        <x:v>0</x:v>
      </x:c>
      <x:c r="S86" s="8" t="n">
        <x:f>O86*E86</x:f>
        <x:v>0</x:v>
      </x:c>
      <x:c r="T86" s="2" t="str">
        <x:f>IF(A86&lt;DATE(2025,12,1),"",IF(D86="Closed",0,ROUND(AVERAGEIFS('Daily inputs'!$F$2:$F$367,'Daily inputs'!$B$2:$B$367,B86,'Daily inputs'!$C$2:$C$367,C86,'Daily inputs'!$D$2:$D$367,"Training"),0)))</x:f>
      </x:c>
      <x:c r="U86" s="2" t="str">
        <x:f>IF(A86&lt;DATE(2025,12,1),"",ROUND(T86*IF(D86="Christmas",Notes!$B$9,Notes!$B$8),0))</x:f>
      </x:c>
      <x:c r="V86" s="2" t="str">
        <x:f>IF(A86&lt;DATE(2025,12,1),"",ABS(T86-F86))</x:f>
      </x:c>
      <x:c r="W86" s="2" t="str">
        <x:f>IF(A86&lt;DATE(2025,12,1),"",ABS(U86-F86))</x:f>
      </x:c>
      <x:c r="X86" s="2" t="str">
        <x:f>IF(A86&lt;DATE(2025,12,1),"",T86-F86)</x:f>
      </x:c>
      <x:c r="Y86" s="2" t="str">
        <x:f>IF(A86&lt;DATE(2025,12,1),"",U86-F86)</x:f>
      </x:c>
      <x:c r="Z86" s="2" t="n">
        <x:f>IF(N86&gt;0,1,0)</x:f>
        <x:v>0</x:v>
      </x:c>
    </x:row>
    <x:row r="87" ht="21" customHeight="1">
      <x:c r="A87" s="6" t="n">
        <x:f>'Daily inputs'!A87</x:f>
        <x:v>45976</x:v>
      </x:c>
      <x:c r="B87" s="2" t="str">
        <x:f>'Daily inputs'!B87</x:f>
        <x:v>I02</x:v>
      </x:c>
      <x:c r="C87" s="2" t="n">
        <x:f>'Daily inputs'!C87</x:f>
        <x:v>6</x:v>
      </x:c>
      <x:c r="D87" s="2" t="str">
        <x:f>'Daily inputs'!D87</x:f>
        <x:v>Training</x:v>
      </x:c>
      <x:c r="E87" s="7" t="n">
        <x:f>'Daily inputs'!E87</x:f>
        <x:v>8</x:v>
      </x:c>
      <x:c r="F87" s="2" t="n">
        <x:f>'Daily inputs'!F87</x:f>
        <x:v>77</x:v>
      </x:c>
      <x:c r="G87" s="2" t="n">
        <x:f>'Daily inputs'!G87</x:f>
        <x:v>10</x:v>
      </x:c>
      <x:c r="H87" s="2" t="n">
        <x:f>'Daily inputs'!H87</x:f>
        <x:v>79</x:v>
      </x:c>
      <x:c r="I87" s="2" t="n">
        <x:f>'Daily inputs'!I87</x:f>
        <x:v>0</x:v>
      </x:c>
      <x:c r="J87" s="2" t="n">
        <x:f>'Daily inputs'!J87</x:f>
        <x:v>0</x:v>
      </x:c>
      <x:c r="K87" s="2" t="n">
        <x:f>'Daily inputs'!K87</x:f>
        <x:v>0</x:v>
      </x:c>
      <x:c r="L87" s="2" t="n">
        <x:f>MIN(F87,G87+H87-I87)</x:f>
        <x:v>77</x:v>
      </x:c>
      <x:c r="M87" s="2" t="n">
        <x:f>G87+H87-L87-I87</x:f>
        <x:v>12</x:v>
      </x:c>
      <x:c r="N87" s="2" t="n">
        <x:f>F87-L87</x:f>
        <x:v>0</x:v>
      </x:c>
      <x:c r="O87" s="2" t="n">
        <x:f>N87-J87</x:f>
        <x:v>0</x:v>
      </x:c>
      <x:c r="P87" s="2" t="n">
        <x:f>L87+I87</x:f>
        <x:v>77</x:v>
      </x:c>
      <x:c r="Q87" s="8" t="n">
        <x:f>P87*E87</x:f>
        <x:v>616</x:v>
      </x:c>
      <x:c r="R87" s="8" t="n">
        <x:f>I87*E87</x:f>
        <x:v>0</x:v>
      </x:c>
      <x:c r="S87" s="8" t="n">
        <x:f>O87*E87</x:f>
        <x:v>0</x:v>
      </x:c>
      <x:c r="T87" s="2" t="str">
        <x:f>IF(A87&lt;DATE(2025,12,1),"",IF(D87="Closed",0,ROUND(AVERAGEIFS('Daily inputs'!$F$2:$F$367,'Daily inputs'!$B$2:$B$367,B87,'Daily inputs'!$C$2:$C$367,C87,'Daily inputs'!$D$2:$D$367,"Training"),0)))</x:f>
      </x:c>
      <x:c r="U87" s="2" t="str">
        <x:f>IF(A87&lt;DATE(2025,12,1),"",ROUND(T87*IF(D87="Christmas",Notes!$B$9,Notes!$B$8),0))</x:f>
      </x:c>
      <x:c r="V87" s="2" t="str">
        <x:f>IF(A87&lt;DATE(2025,12,1),"",ABS(T87-F87))</x:f>
      </x:c>
      <x:c r="W87" s="2" t="str">
        <x:f>IF(A87&lt;DATE(2025,12,1),"",ABS(U87-F87))</x:f>
      </x:c>
      <x:c r="X87" s="2" t="str">
        <x:f>IF(A87&lt;DATE(2025,12,1),"",T87-F87)</x:f>
      </x:c>
      <x:c r="Y87" s="2" t="str">
        <x:f>IF(A87&lt;DATE(2025,12,1),"",U87-F87)</x:f>
      </x:c>
      <x:c r="Z87" s="2" t="n">
        <x:f>IF(N87&gt;0,1,0)</x:f>
        <x:v>0</x:v>
      </x:c>
    </x:row>
    <x:row r="88" ht="21" customHeight="1">
      <x:c r="A88" s="6" t="n">
        <x:f>'Daily inputs'!A88</x:f>
        <x:v>45976</x:v>
      </x:c>
      <x:c r="B88" s="2" t="str">
        <x:f>'Daily inputs'!B88</x:f>
        <x:v>I03</x:v>
      </x:c>
      <x:c r="C88" s="2" t="n">
        <x:f>'Daily inputs'!C88</x:f>
        <x:v>6</x:v>
      </x:c>
      <x:c r="D88" s="2" t="str">
        <x:f>'Daily inputs'!D88</x:f>
        <x:v>Training</x:v>
      </x:c>
      <x:c r="E88" s="7" t="n">
        <x:f>'Daily inputs'!E88</x:f>
        <x:v>7.5</x:v>
      </x:c>
      <x:c r="F88" s="2" t="n">
        <x:f>'Daily inputs'!F88</x:f>
        <x:v>42</x:v>
      </x:c>
      <x:c r="G88" s="2" t="n">
        <x:f>'Daily inputs'!G88</x:f>
        <x:v>6</x:v>
      </x:c>
      <x:c r="H88" s="2" t="n">
        <x:f>'Daily inputs'!H88</x:f>
        <x:v>42</x:v>
      </x:c>
      <x:c r="I88" s="2" t="n">
        <x:f>'Daily inputs'!I88</x:f>
        <x:v>0</x:v>
      </x:c>
      <x:c r="J88" s="2" t="n">
        <x:f>'Daily inputs'!J88</x:f>
        <x:v>0</x:v>
      </x:c>
      <x:c r="K88" s="2" t="n">
        <x:f>'Daily inputs'!K88</x:f>
        <x:v>0</x:v>
      </x:c>
      <x:c r="L88" s="2" t="n">
        <x:f>MIN(F88,G88+H88-I88)</x:f>
        <x:v>42</x:v>
      </x:c>
      <x:c r="M88" s="2" t="n">
        <x:f>G88+H88-L88-I88</x:f>
        <x:v>6</x:v>
      </x:c>
      <x:c r="N88" s="2" t="n">
        <x:f>F88-L88</x:f>
        <x:v>0</x:v>
      </x:c>
      <x:c r="O88" s="2" t="n">
        <x:f>N88-J88</x:f>
        <x:v>0</x:v>
      </x:c>
      <x:c r="P88" s="2" t="n">
        <x:f>L88+I88</x:f>
        <x:v>42</x:v>
      </x:c>
      <x:c r="Q88" s="8" t="n">
        <x:f>P88*E88</x:f>
        <x:v>315</x:v>
      </x:c>
      <x:c r="R88" s="8" t="n">
        <x:f>I88*E88</x:f>
        <x:v>0</x:v>
      </x:c>
      <x:c r="S88" s="8" t="n">
        <x:f>O88*E88</x:f>
        <x:v>0</x:v>
      </x:c>
      <x:c r="T88" s="2" t="str">
        <x:f>IF(A88&lt;DATE(2025,12,1),"",IF(D88="Closed",0,ROUND(AVERAGEIFS('Daily inputs'!$F$2:$F$367,'Daily inputs'!$B$2:$B$367,B88,'Daily inputs'!$C$2:$C$367,C88,'Daily inputs'!$D$2:$D$367,"Training"),0)))</x:f>
      </x:c>
      <x:c r="U88" s="2" t="str">
        <x:f>IF(A88&lt;DATE(2025,12,1),"",ROUND(T88*IF(D88="Christmas",Notes!$B$9,Notes!$B$8),0))</x:f>
      </x:c>
      <x:c r="V88" s="2" t="str">
        <x:f>IF(A88&lt;DATE(2025,12,1),"",ABS(T88-F88))</x:f>
      </x:c>
      <x:c r="W88" s="2" t="str">
        <x:f>IF(A88&lt;DATE(2025,12,1),"",ABS(U88-F88))</x:f>
      </x:c>
      <x:c r="X88" s="2" t="str">
        <x:f>IF(A88&lt;DATE(2025,12,1),"",T88-F88)</x:f>
      </x:c>
      <x:c r="Y88" s="2" t="str">
        <x:f>IF(A88&lt;DATE(2025,12,1),"",U88-F88)</x:f>
      </x:c>
      <x:c r="Z88" s="2" t="n">
        <x:f>IF(N88&gt;0,1,0)</x:f>
        <x:v>0</x:v>
      </x:c>
    </x:row>
    <x:row r="89" ht="21" customHeight="1">
      <x:c r="A89" s="6" t="n">
        <x:f>'Daily inputs'!A89</x:f>
        <x:v>45976</x:v>
      </x:c>
      <x:c r="B89" s="2" t="str">
        <x:f>'Daily inputs'!B89</x:f>
        <x:v>I04</x:v>
      </x:c>
      <x:c r="C89" s="2" t="n">
        <x:f>'Daily inputs'!C89</x:f>
        <x:v>6</x:v>
      </x:c>
      <x:c r="D89" s="2" t="str">
        <x:f>'Daily inputs'!D89</x:f>
        <x:v>Training</x:v>
      </x:c>
      <x:c r="E89" s="7" t="n">
        <x:f>'Daily inputs'!E89</x:f>
        <x:v>9</x:v>
      </x:c>
      <x:c r="F89" s="2" t="n">
        <x:f>'Daily inputs'!F89</x:f>
        <x:v>50</x:v>
      </x:c>
      <x:c r="G89" s="2" t="n">
        <x:f>'Daily inputs'!G89</x:f>
        <x:v>7</x:v>
      </x:c>
      <x:c r="H89" s="2" t="n">
        <x:f>'Daily inputs'!H89</x:f>
        <x:v>50</x:v>
      </x:c>
      <x:c r="I89" s="2" t="n">
        <x:f>'Daily inputs'!I89</x:f>
        <x:v>0</x:v>
      </x:c>
      <x:c r="J89" s="2" t="n">
        <x:f>'Daily inputs'!J89</x:f>
        <x:v>0</x:v>
      </x:c>
      <x:c r="K89" s="2" t="n">
        <x:f>'Daily inputs'!K89</x:f>
        <x:v>0</x:v>
      </x:c>
      <x:c r="L89" s="2" t="n">
        <x:f>MIN(F89,G89+H89-I89)</x:f>
        <x:v>50</x:v>
      </x:c>
      <x:c r="M89" s="2" t="n">
        <x:f>G89+H89-L89-I89</x:f>
        <x:v>7</x:v>
      </x:c>
      <x:c r="N89" s="2" t="n">
        <x:f>F89-L89</x:f>
        <x:v>0</x:v>
      </x:c>
      <x:c r="O89" s="2" t="n">
        <x:f>N89-J89</x:f>
        <x:v>0</x:v>
      </x:c>
      <x:c r="P89" s="2" t="n">
        <x:f>L89+I89</x:f>
        <x:v>50</x:v>
      </x:c>
      <x:c r="Q89" s="8" t="n">
        <x:f>P89*E89</x:f>
        <x:v>450</x:v>
      </x:c>
      <x:c r="R89" s="8" t="n">
        <x:f>I89*E89</x:f>
        <x:v>0</x:v>
      </x:c>
      <x:c r="S89" s="8" t="n">
        <x:f>O89*E89</x:f>
        <x:v>0</x:v>
      </x:c>
      <x:c r="T89" s="2" t="str">
        <x:f>IF(A89&lt;DATE(2025,12,1),"",IF(D89="Closed",0,ROUND(AVERAGEIFS('Daily inputs'!$F$2:$F$367,'Daily inputs'!$B$2:$B$367,B89,'Daily inputs'!$C$2:$C$367,C89,'Daily inputs'!$D$2:$D$367,"Training"),0)))</x:f>
      </x:c>
      <x:c r="U89" s="2" t="str">
        <x:f>IF(A89&lt;DATE(2025,12,1),"",ROUND(T89*IF(D89="Christmas",Notes!$B$9,Notes!$B$8),0))</x:f>
      </x:c>
      <x:c r="V89" s="2" t="str">
        <x:f>IF(A89&lt;DATE(2025,12,1),"",ABS(T89-F89))</x:f>
      </x:c>
      <x:c r="W89" s="2" t="str">
        <x:f>IF(A89&lt;DATE(2025,12,1),"",ABS(U89-F89))</x:f>
      </x:c>
      <x:c r="X89" s="2" t="str">
        <x:f>IF(A89&lt;DATE(2025,12,1),"",T89-F89)</x:f>
      </x:c>
      <x:c r="Y89" s="2" t="str">
        <x:f>IF(A89&lt;DATE(2025,12,1),"",U89-F89)</x:f>
      </x:c>
      <x:c r="Z89" s="2" t="n">
        <x:f>IF(N89&gt;0,1,0)</x:f>
        <x:v>0</x:v>
      </x:c>
    </x:row>
    <x:row r="90" ht="21" customHeight="1">
      <x:c r="A90" s="6" t="n">
        <x:f>'Daily inputs'!A90</x:f>
        <x:v>45976</x:v>
      </x:c>
      <x:c r="B90" s="2" t="str">
        <x:f>'Daily inputs'!B90</x:f>
        <x:v>I05</x:v>
      </x:c>
      <x:c r="C90" s="2" t="n">
        <x:f>'Daily inputs'!C90</x:f>
        <x:v>6</x:v>
      </x:c>
      <x:c r="D90" s="2" t="str">
        <x:f>'Daily inputs'!D90</x:f>
        <x:v>Training</x:v>
      </x:c>
      <x:c r="E90" s="7" t="n">
        <x:f>'Daily inputs'!E90</x:f>
        <x:v>3.5</x:v>
      </x:c>
      <x:c r="F90" s="2" t="n">
        <x:f>'Daily inputs'!F90</x:f>
        <x:v>108</x:v>
      </x:c>
      <x:c r="G90" s="2" t="n">
        <x:f>'Daily inputs'!G90</x:f>
        <x:v>15</x:v>
      </x:c>
      <x:c r="H90" s="2" t="n">
        <x:f>'Daily inputs'!H90</x:f>
        <x:v>109</x:v>
      </x:c>
      <x:c r="I90" s="2" t="n">
        <x:f>'Daily inputs'!I90</x:f>
        <x:v>0</x:v>
      </x:c>
      <x:c r="J90" s="2" t="n">
        <x:f>'Daily inputs'!J90</x:f>
        <x:v>0</x:v>
      </x:c>
      <x:c r="K90" s="2" t="n">
        <x:f>'Daily inputs'!K90</x:f>
        <x:v>0</x:v>
      </x:c>
      <x:c r="L90" s="2" t="n">
        <x:f>MIN(F90,G90+H90-I90)</x:f>
        <x:v>108</x:v>
      </x:c>
      <x:c r="M90" s="2" t="n">
        <x:f>G90+H90-L90-I90</x:f>
        <x:v>16</x:v>
      </x:c>
      <x:c r="N90" s="2" t="n">
        <x:f>F90-L90</x:f>
        <x:v>0</x:v>
      </x:c>
      <x:c r="O90" s="2" t="n">
        <x:f>N90-J90</x:f>
        <x:v>0</x:v>
      </x:c>
      <x:c r="P90" s="2" t="n">
        <x:f>L90+I90</x:f>
        <x:v>108</x:v>
      </x:c>
      <x:c r="Q90" s="8" t="n">
        <x:f>P90*E90</x:f>
        <x:v>378</x:v>
      </x:c>
      <x:c r="R90" s="8" t="n">
        <x:f>I90*E90</x:f>
        <x:v>0</x:v>
      </x:c>
      <x:c r="S90" s="8" t="n">
        <x:f>O90*E90</x:f>
        <x:v>0</x:v>
      </x:c>
      <x:c r="T90" s="2" t="str">
        <x:f>IF(A90&lt;DATE(2025,12,1),"",IF(D90="Closed",0,ROUND(AVERAGEIFS('Daily inputs'!$F$2:$F$367,'Daily inputs'!$B$2:$B$367,B90,'Daily inputs'!$C$2:$C$367,C90,'Daily inputs'!$D$2:$D$367,"Training"),0)))</x:f>
      </x:c>
      <x:c r="U90" s="2" t="str">
        <x:f>IF(A90&lt;DATE(2025,12,1),"",ROUND(T90*IF(D90="Christmas",Notes!$B$9,Notes!$B$8),0))</x:f>
      </x:c>
      <x:c r="V90" s="2" t="str">
        <x:f>IF(A90&lt;DATE(2025,12,1),"",ABS(T90-F90))</x:f>
      </x:c>
      <x:c r="W90" s="2" t="str">
        <x:f>IF(A90&lt;DATE(2025,12,1),"",ABS(U90-F90))</x:f>
      </x:c>
      <x:c r="X90" s="2" t="str">
        <x:f>IF(A90&lt;DATE(2025,12,1),"",T90-F90)</x:f>
      </x:c>
      <x:c r="Y90" s="2" t="str">
        <x:f>IF(A90&lt;DATE(2025,12,1),"",U90-F90)</x:f>
      </x:c>
      <x:c r="Z90" s="2" t="n">
        <x:f>IF(N90&gt;0,1,0)</x:f>
        <x:v>0</x:v>
      </x:c>
    </x:row>
    <x:row r="91" ht="21" customHeight="1">
      <x:c r="A91" s="6" t="n">
        <x:f>'Daily inputs'!A91</x:f>
        <x:v>45976</x:v>
      </x:c>
      <x:c r="B91" s="2" t="str">
        <x:f>'Daily inputs'!B91</x:f>
        <x:v>I06</x:v>
      </x:c>
      <x:c r="C91" s="2" t="n">
        <x:f>'Daily inputs'!C91</x:f>
        <x:v>6</x:v>
      </x:c>
      <x:c r="D91" s="2" t="str">
        <x:f>'Daily inputs'!D91</x:f>
        <x:v>Training</x:v>
      </x:c>
      <x:c r="E91" s="7" t="n">
        <x:f>'Daily inputs'!E91</x:f>
        <x:v>3</x:v>
      </x:c>
      <x:c r="F91" s="2" t="n">
        <x:f>'Daily inputs'!F91</x:f>
        <x:v>38</x:v>
      </x:c>
      <x:c r="G91" s="2" t="n">
        <x:f>'Daily inputs'!G91</x:f>
        <x:v>6</x:v>
      </x:c>
      <x:c r="H91" s="2" t="n">
        <x:f>'Daily inputs'!H91</x:f>
        <x:v>38</x:v>
      </x:c>
      <x:c r="I91" s="2" t="n">
        <x:f>'Daily inputs'!I91</x:f>
        <x:v>0</x:v>
      </x:c>
      <x:c r="J91" s="2" t="n">
        <x:f>'Daily inputs'!J91</x:f>
        <x:v>0</x:v>
      </x:c>
      <x:c r="K91" s="2" t="n">
        <x:f>'Daily inputs'!K91</x:f>
        <x:v>0</x:v>
      </x:c>
      <x:c r="L91" s="2" t="n">
        <x:f>MIN(F91,G91+H91-I91)</x:f>
        <x:v>38</x:v>
      </x:c>
      <x:c r="M91" s="2" t="n">
        <x:f>G91+H91-L91-I91</x:f>
        <x:v>6</x:v>
      </x:c>
      <x:c r="N91" s="2" t="n">
        <x:f>F91-L91</x:f>
        <x:v>0</x:v>
      </x:c>
      <x:c r="O91" s="2" t="n">
        <x:f>N91-J91</x:f>
        <x:v>0</x:v>
      </x:c>
      <x:c r="P91" s="2" t="n">
        <x:f>L91+I91</x:f>
        <x:v>38</x:v>
      </x:c>
      <x:c r="Q91" s="8" t="n">
        <x:f>P91*E91</x:f>
        <x:v>114</x:v>
      </x:c>
      <x:c r="R91" s="8" t="n">
        <x:f>I91*E91</x:f>
        <x:v>0</x:v>
      </x:c>
      <x:c r="S91" s="8" t="n">
        <x:f>O91*E91</x:f>
        <x:v>0</x:v>
      </x:c>
      <x:c r="T91" s="2" t="str">
        <x:f>IF(A91&lt;DATE(2025,12,1),"",IF(D91="Closed",0,ROUND(AVERAGEIFS('Daily inputs'!$F$2:$F$367,'Daily inputs'!$B$2:$B$367,B91,'Daily inputs'!$C$2:$C$367,C91,'Daily inputs'!$D$2:$D$367,"Training"),0)))</x:f>
      </x:c>
      <x:c r="U91" s="2" t="str">
        <x:f>IF(A91&lt;DATE(2025,12,1),"",ROUND(T91*IF(D91="Christmas",Notes!$B$9,Notes!$B$8),0))</x:f>
      </x:c>
      <x:c r="V91" s="2" t="str">
        <x:f>IF(A91&lt;DATE(2025,12,1),"",ABS(T91-F91))</x:f>
      </x:c>
      <x:c r="W91" s="2" t="str">
        <x:f>IF(A91&lt;DATE(2025,12,1),"",ABS(U91-F91))</x:f>
      </x:c>
      <x:c r="X91" s="2" t="str">
        <x:f>IF(A91&lt;DATE(2025,12,1),"",T91-F91)</x:f>
      </x:c>
      <x:c r="Y91" s="2" t="str">
        <x:f>IF(A91&lt;DATE(2025,12,1),"",U91-F91)</x:f>
      </x:c>
      <x:c r="Z91" s="2" t="n">
        <x:f>IF(N91&gt;0,1,0)</x:f>
        <x:v>0</x:v>
      </x:c>
    </x:row>
    <x:row r="92" ht="21" customHeight="1">
      <x:c r="A92" s="6" t="n">
        <x:f>'Daily inputs'!A92</x:f>
        <x:v>45977</x:v>
      </x:c>
      <x:c r="B92" s="2" t="str">
        <x:f>'Daily inputs'!B92</x:f>
        <x:v>I01</x:v>
      </x:c>
      <x:c r="C92" s="2" t="n">
        <x:f>'Daily inputs'!C92</x:f>
        <x:v>7</x:v>
      </x:c>
      <x:c r="D92" s="2" t="str">
        <x:f>'Daily inputs'!D92</x:f>
        <x:v>Training</x:v>
      </x:c>
      <x:c r="E92" s="7" t="n">
        <x:f>'Daily inputs'!E92</x:f>
        <x:v>8.5</x:v>
      </x:c>
      <x:c r="F92" s="2" t="n">
        <x:f>'Daily inputs'!F92</x:f>
        <x:v>83</x:v>
      </x:c>
      <x:c r="G92" s="2" t="n">
        <x:f>'Daily inputs'!G92</x:f>
        <x:v>14</x:v>
      </x:c>
      <x:c r="H92" s="2" t="n">
        <x:f>'Daily inputs'!H92</x:f>
        <x:v>81</x:v>
      </x:c>
      <x:c r="I92" s="2" t="n">
        <x:f>'Daily inputs'!I92</x:f>
        <x:v>0</x:v>
      </x:c>
      <x:c r="J92" s="2" t="n">
        <x:f>'Daily inputs'!J92</x:f>
        <x:v>0</x:v>
      </x:c>
      <x:c r="K92" s="2" t="n">
        <x:f>'Daily inputs'!K92</x:f>
        <x:v>0</x:v>
      </x:c>
      <x:c r="L92" s="2" t="n">
        <x:f>MIN(F92,G92+H92-I92)</x:f>
        <x:v>83</x:v>
      </x:c>
      <x:c r="M92" s="2" t="n">
        <x:f>G92+H92-L92-I92</x:f>
        <x:v>12</x:v>
      </x:c>
      <x:c r="N92" s="2" t="n">
        <x:f>F92-L92</x:f>
        <x:v>0</x:v>
      </x:c>
      <x:c r="O92" s="2" t="n">
        <x:f>N92-J92</x:f>
        <x:v>0</x:v>
      </x:c>
      <x:c r="P92" s="2" t="n">
        <x:f>L92+I92</x:f>
        <x:v>83</x:v>
      </x:c>
      <x:c r="Q92" s="8" t="n">
        <x:f>P92*E92</x:f>
        <x:v>705.5</x:v>
      </x:c>
      <x:c r="R92" s="8" t="n">
        <x:f>I92*E92</x:f>
        <x:v>0</x:v>
      </x:c>
      <x:c r="S92" s="8" t="n">
        <x:f>O92*E92</x:f>
        <x:v>0</x:v>
      </x:c>
      <x:c r="T92" s="2" t="str">
        <x:f>IF(A92&lt;DATE(2025,12,1),"",IF(D92="Closed",0,ROUND(AVERAGEIFS('Daily inputs'!$F$2:$F$367,'Daily inputs'!$B$2:$B$367,B92,'Daily inputs'!$C$2:$C$367,C92,'Daily inputs'!$D$2:$D$367,"Training"),0)))</x:f>
      </x:c>
      <x:c r="U92" s="2" t="str">
        <x:f>IF(A92&lt;DATE(2025,12,1),"",ROUND(T92*IF(D92="Christmas",Notes!$B$9,Notes!$B$8),0))</x:f>
      </x:c>
      <x:c r="V92" s="2" t="str">
        <x:f>IF(A92&lt;DATE(2025,12,1),"",ABS(T92-F92))</x:f>
      </x:c>
      <x:c r="W92" s="2" t="str">
        <x:f>IF(A92&lt;DATE(2025,12,1),"",ABS(U92-F92))</x:f>
      </x:c>
      <x:c r="X92" s="2" t="str">
        <x:f>IF(A92&lt;DATE(2025,12,1),"",T92-F92)</x:f>
      </x:c>
      <x:c r="Y92" s="2" t="str">
        <x:f>IF(A92&lt;DATE(2025,12,1),"",U92-F92)</x:f>
      </x:c>
      <x:c r="Z92" s="2" t="n">
        <x:f>IF(N92&gt;0,1,0)</x:f>
        <x:v>0</x:v>
      </x:c>
    </x:row>
    <x:row r="93" ht="21" customHeight="1">
      <x:c r="A93" s="6" t="n">
        <x:f>'Daily inputs'!A93</x:f>
        <x:v>45977</x:v>
      </x:c>
      <x:c r="B93" s="2" t="str">
        <x:f>'Daily inputs'!B93</x:f>
        <x:v>I02</x:v>
      </x:c>
      <x:c r="C93" s="2" t="n">
        <x:f>'Daily inputs'!C93</x:f>
        <x:v>7</x:v>
      </x:c>
      <x:c r="D93" s="2" t="str">
        <x:f>'Daily inputs'!D93</x:f>
        <x:v>Training</x:v>
      </x:c>
      <x:c r="E93" s="7" t="n">
        <x:f>'Daily inputs'!E93</x:f>
        <x:v>8</x:v>
      </x:c>
      <x:c r="F93" s="2" t="n">
        <x:f>'Daily inputs'!F93</x:f>
        <x:v>65</x:v>
      </x:c>
      <x:c r="G93" s="2" t="n">
        <x:f>'Daily inputs'!G93</x:f>
        <x:v>12</x:v>
      </x:c>
      <x:c r="H93" s="2" t="n">
        <x:f>'Daily inputs'!H93</x:f>
        <x:v>63</x:v>
      </x:c>
      <x:c r="I93" s="2" t="n">
        <x:f>'Daily inputs'!I93</x:f>
        <x:v>0</x:v>
      </x:c>
      <x:c r="J93" s="2" t="n">
        <x:f>'Daily inputs'!J93</x:f>
        <x:v>0</x:v>
      </x:c>
      <x:c r="K93" s="2" t="n">
        <x:f>'Daily inputs'!K93</x:f>
        <x:v>0</x:v>
      </x:c>
      <x:c r="L93" s="2" t="n">
        <x:f>MIN(F93,G93+H93-I93)</x:f>
        <x:v>65</x:v>
      </x:c>
      <x:c r="M93" s="2" t="n">
        <x:f>G93+H93-L93-I93</x:f>
        <x:v>10</x:v>
      </x:c>
      <x:c r="N93" s="2" t="n">
        <x:f>F93-L93</x:f>
        <x:v>0</x:v>
      </x:c>
      <x:c r="O93" s="2" t="n">
        <x:f>N93-J93</x:f>
        <x:v>0</x:v>
      </x:c>
      <x:c r="P93" s="2" t="n">
        <x:f>L93+I93</x:f>
        <x:v>65</x:v>
      </x:c>
      <x:c r="Q93" s="8" t="n">
        <x:f>P93*E93</x:f>
        <x:v>520</x:v>
      </x:c>
      <x:c r="R93" s="8" t="n">
        <x:f>I93*E93</x:f>
        <x:v>0</x:v>
      </x:c>
      <x:c r="S93" s="8" t="n">
        <x:f>O93*E93</x:f>
        <x:v>0</x:v>
      </x:c>
      <x:c r="T93" s="2" t="str">
        <x:f>IF(A93&lt;DATE(2025,12,1),"",IF(D93="Closed",0,ROUND(AVERAGEIFS('Daily inputs'!$F$2:$F$367,'Daily inputs'!$B$2:$B$367,B93,'Daily inputs'!$C$2:$C$367,C93,'Daily inputs'!$D$2:$D$367,"Training"),0)))</x:f>
      </x:c>
      <x:c r="U93" s="2" t="str">
        <x:f>IF(A93&lt;DATE(2025,12,1),"",ROUND(T93*IF(D93="Christmas",Notes!$B$9,Notes!$B$8),0))</x:f>
      </x:c>
      <x:c r="V93" s="2" t="str">
        <x:f>IF(A93&lt;DATE(2025,12,1),"",ABS(T93-F93))</x:f>
      </x:c>
      <x:c r="W93" s="2" t="str">
        <x:f>IF(A93&lt;DATE(2025,12,1),"",ABS(U93-F93))</x:f>
      </x:c>
      <x:c r="X93" s="2" t="str">
        <x:f>IF(A93&lt;DATE(2025,12,1),"",T93-F93)</x:f>
      </x:c>
      <x:c r="Y93" s="2" t="str">
        <x:f>IF(A93&lt;DATE(2025,12,1),"",U93-F93)</x:f>
      </x:c>
      <x:c r="Z93" s="2" t="n">
        <x:f>IF(N93&gt;0,1,0)</x:f>
        <x:v>0</x:v>
      </x:c>
    </x:row>
    <x:row r="94" ht="21" customHeight="1">
      <x:c r="A94" s="6" t="n">
        <x:f>'Daily inputs'!A94</x:f>
        <x:v>45977</x:v>
      </x:c>
      <x:c r="B94" s="2" t="str">
        <x:f>'Daily inputs'!B94</x:f>
        <x:v>I03</x:v>
      </x:c>
      <x:c r="C94" s="2" t="n">
        <x:f>'Daily inputs'!C94</x:f>
        <x:v>7</x:v>
      </x:c>
      <x:c r="D94" s="2" t="str">
        <x:f>'Daily inputs'!D94</x:f>
        <x:v>Training</x:v>
      </x:c>
      <x:c r="E94" s="7" t="n">
        <x:f>'Daily inputs'!E94</x:f>
        <x:v>7.5</x:v>
      </x:c>
      <x:c r="F94" s="2" t="n">
        <x:f>'Daily inputs'!F94</x:f>
        <x:v>38</x:v>
      </x:c>
      <x:c r="G94" s="2" t="n">
        <x:f>'Daily inputs'!G94</x:f>
        <x:v>6</x:v>
      </x:c>
      <x:c r="H94" s="2" t="n">
        <x:f>'Daily inputs'!H94</x:f>
        <x:v>38</x:v>
      </x:c>
      <x:c r="I94" s="2" t="n">
        <x:f>'Daily inputs'!I94</x:f>
        <x:v>0</x:v>
      </x:c>
      <x:c r="J94" s="2" t="n">
        <x:f>'Daily inputs'!J94</x:f>
        <x:v>0</x:v>
      </x:c>
      <x:c r="K94" s="2" t="n">
        <x:f>'Daily inputs'!K94</x:f>
        <x:v>0</x:v>
      </x:c>
      <x:c r="L94" s="2" t="n">
        <x:f>MIN(F94,G94+H94-I94)</x:f>
        <x:v>38</x:v>
      </x:c>
      <x:c r="M94" s="2" t="n">
        <x:f>G94+H94-L94-I94</x:f>
        <x:v>6</x:v>
      </x:c>
      <x:c r="N94" s="2" t="n">
        <x:f>F94-L94</x:f>
        <x:v>0</x:v>
      </x:c>
      <x:c r="O94" s="2" t="n">
        <x:f>N94-J94</x:f>
        <x:v>0</x:v>
      </x:c>
      <x:c r="P94" s="2" t="n">
        <x:f>L94+I94</x:f>
        <x:v>38</x:v>
      </x:c>
      <x:c r="Q94" s="8" t="n">
        <x:f>P94*E94</x:f>
        <x:v>285</x:v>
      </x:c>
      <x:c r="R94" s="8" t="n">
        <x:f>I94*E94</x:f>
        <x:v>0</x:v>
      </x:c>
      <x:c r="S94" s="8" t="n">
        <x:f>O94*E94</x:f>
        <x:v>0</x:v>
      </x:c>
      <x:c r="T94" s="2" t="str">
        <x:f>IF(A94&lt;DATE(2025,12,1),"",IF(D94="Closed",0,ROUND(AVERAGEIFS('Daily inputs'!$F$2:$F$367,'Daily inputs'!$B$2:$B$367,B94,'Daily inputs'!$C$2:$C$367,C94,'Daily inputs'!$D$2:$D$367,"Training"),0)))</x:f>
      </x:c>
      <x:c r="U94" s="2" t="str">
        <x:f>IF(A94&lt;DATE(2025,12,1),"",ROUND(T94*IF(D94="Christmas",Notes!$B$9,Notes!$B$8),0))</x:f>
      </x:c>
      <x:c r="V94" s="2" t="str">
        <x:f>IF(A94&lt;DATE(2025,12,1),"",ABS(T94-F94))</x:f>
      </x:c>
      <x:c r="W94" s="2" t="str">
        <x:f>IF(A94&lt;DATE(2025,12,1),"",ABS(U94-F94))</x:f>
      </x:c>
      <x:c r="X94" s="2" t="str">
        <x:f>IF(A94&lt;DATE(2025,12,1),"",T94-F94)</x:f>
      </x:c>
      <x:c r="Y94" s="2" t="str">
        <x:f>IF(A94&lt;DATE(2025,12,1),"",U94-F94)</x:f>
      </x:c>
      <x:c r="Z94" s="2" t="n">
        <x:f>IF(N94&gt;0,1,0)</x:f>
        <x:v>0</x:v>
      </x:c>
    </x:row>
    <x:row r="95" ht="21" customHeight="1">
      <x:c r="A95" s="6" t="n">
        <x:f>'Daily inputs'!A95</x:f>
        <x:v>45977</x:v>
      </x:c>
      <x:c r="B95" s="2" t="str">
        <x:f>'Daily inputs'!B95</x:f>
        <x:v>I04</x:v>
      </x:c>
      <x:c r="C95" s="2" t="n">
        <x:f>'Daily inputs'!C95</x:f>
        <x:v>7</x:v>
      </x:c>
      <x:c r="D95" s="2" t="str">
        <x:f>'Daily inputs'!D95</x:f>
        <x:v>Training</x:v>
      </x:c>
      <x:c r="E95" s="7" t="n">
        <x:f>'Daily inputs'!E95</x:f>
        <x:v>9</x:v>
      </x:c>
      <x:c r="F95" s="2" t="n">
        <x:f>'Daily inputs'!F95</x:f>
        <x:v>42</x:v>
      </x:c>
      <x:c r="G95" s="2" t="n">
        <x:f>'Daily inputs'!G95</x:f>
        <x:v>7</x:v>
      </x:c>
      <x:c r="H95" s="2" t="n">
        <x:f>'Daily inputs'!H95</x:f>
        <x:v>41</x:v>
      </x:c>
      <x:c r="I95" s="2" t="n">
        <x:f>'Daily inputs'!I95</x:f>
        <x:v>0</x:v>
      </x:c>
      <x:c r="J95" s="2" t="n">
        <x:f>'Daily inputs'!J95</x:f>
        <x:v>0</x:v>
      </x:c>
      <x:c r="K95" s="2" t="n">
        <x:f>'Daily inputs'!K95</x:f>
        <x:v>0</x:v>
      </x:c>
      <x:c r="L95" s="2" t="n">
        <x:f>MIN(F95,G95+H95-I95)</x:f>
        <x:v>42</x:v>
      </x:c>
      <x:c r="M95" s="2" t="n">
        <x:f>G95+H95-L95-I95</x:f>
        <x:v>6</x:v>
      </x:c>
      <x:c r="N95" s="2" t="n">
        <x:f>F95-L95</x:f>
        <x:v>0</x:v>
      </x:c>
      <x:c r="O95" s="2" t="n">
        <x:f>N95-J95</x:f>
        <x:v>0</x:v>
      </x:c>
      <x:c r="P95" s="2" t="n">
        <x:f>L95+I95</x:f>
        <x:v>42</x:v>
      </x:c>
      <x:c r="Q95" s="8" t="n">
        <x:f>P95*E95</x:f>
        <x:v>378</x:v>
      </x:c>
      <x:c r="R95" s="8" t="n">
        <x:f>I95*E95</x:f>
        <x:v>0</x:v>
      </x:c>
      <x:c r="S95" s="8" t="n">
        <x:f>O95*E95</x:f>
        <x:v>0</x:v>
      </x:c>
      <x:c r="T95" s="2" t="str">
        <x:f>IF(A95&lt;DATE(2025,12,1),"",IF(D95="Closed",0,ROUND(AVERAGEIFS('Daily inputs'!$F$2:$F$367,'Daily inputs'!$B$2:$B$367,B95,'Daily inputs'!$C$2:$C$367,C95,'Daily inputs'!$D$2:$D$367,"Training"),0)))</x:f>
      </x:c>
      <x:c r="U95" s="2" t="str">
        <x:f>IF(A95&lt;DATE(2025,12,1),"",ROUND(T95*IF(D95="Christmas",Notes!$B$9,Notes!$B$8),0))</x:f>
      </x:c>
      <x:c r="V95" s="2" t="str">
        <x:f>IF(A95&lt;DATE(2025,12,1),"",ABS(T95-F95))</x:f>
      </x:c>
      <x:c r="W95" s="2" t="str">
        <x:f>IF(A95&lt;DATE(2025,12,1),"",ABS(U95-F95))</x:f>
      </x:c>
      <x:c r="X95" s="2" t="str">
        <x:f>IF(A95&lt;DATE(2025,12,1),"",T95-F95)</x:f>
      </x:c>
      <x:c r="Y95" s="2" t="str">
        <x:f>IF(A95&lt;DATE(2025,12,1),"",U95-F95)</x:f>
      </x:c>
      <x:c r="Z95" s="2" t="n">
        <x:f>IF(N95&gt;0,1,0)</x:f>
        <x:v>0</x:v>
      </x:c>
    </x:row>
    <x:row r="96" ht="21" customHeight="1">
      <x:c r="A96" s="6" t="n">
        <x:f>'Daily inputs'!A96</x:f>
        <x:v>45977</x:v>
      </x:c>
      <x:c r="B96" s="2" t="str">
        <x:f>'Daily inputs'!B96</x:f>
        <x:v>I05</x:v>
      </x:c>
      <x:c r="C96" s="2" t="n">
        <x:f>'Daily inputs'!C96</x:f>
        <x:v>7</x:v>
      </x:c>
      <x:c r="D96" s="2" t="str">
        <x:f>'Daily inputs'!D96</x:f>
        <x:v>Training</x:v>
      </x:c>
      <x:c r="E96" s="7" t="n">
        <x:f>'Daily inputs'!E96</x:f>
        <x:v>3.5</x:v>
      </x:c>
      <x:c r="F96" s="2" t="n">
        <x:f>'Daily inputs'!F96</x:f>
        <x:v>85</x:v>
      </x:c>
      <x:c r="G96" s="2" t="n">
        <x:f>'Daily inputs'!G96</x:f>
        <x:v>16</x:v>
      </x:c>
      <x:c r="H96" s="2" t="n">
        <x:f>'Daily inputs'!H96</x:f>
        <x:v>82</x:v>
      </x:c>
      <x:c r="I96" s="2" t="n">
        <x:f>'Daily inputs'!I96</x:f>
        <x:v>0</x:v>
      </x:c>
      <x:c r="J96" s="2" t="n">
        <x:f>'Daily inputs'!J96</x:f>
        <x:v>0</x:v>
      </x:c>
      <x:c r="K96" s="2" t="n">
        <x:f>'Daily inputs'!K96</x:f>
        <x:v>0</x:v>
      </x:c>
      <x:c r="L96" s="2" t="n">
        <x:f>MIN(F96,G96+H96-I96)</x:f>
        <x:v>85</x:v>
      </x:c>
      <x:c r="M96" s="2" t="n">
        <x:f>G96+H96-L96-I96</x:f>
        <x:v>13</x:v>
      </x:c>
      <x:c r="N96" s="2" t="n">
        <x:f>F96-L96</x:f>
        <x:v>0</x:v>
      </x:c>
      <x:c r="O96" s="2" t="n">
        <x:f>N96-J96</x:f>
        <x:v>0</x:v>
      </x:c>
      <x:c r="P96" s="2" t="n">
        <x:f>L96+I96</x:f>
        <x:v>85</x:v>
      </x:c>
      <x:c r="Q96" s="8" t="n">
        <x:f>P96*E96</x:f>
        <x:v>297.5</x:v>
      </x:c>
      <x:c r="R96" s="8" t="n">
        <x:f>I96*E96</x:f>
        <x:v>0</x:v>
      </x:c>
      <x:c r="S96" s="8" t="n">
        <x:f>O96*E96</x:f>
        <x:v>0</x:v>
      </x:c>
      <x:c r="T96" s="2" t="str">
        <x:f>IF(A96&lt;DATE(2025,12,1),"",IF(D96="Closed",0,ROUND(AVERAGEIFS('Daily inputs'!$F$2:$F$367,'Daily inputs'!$B$2:$B$367,B96,'Daily inputs'!$C$2:$C$367,C96,'Daily inputs'!$D$2:$D$367,"Training"),0)))</x:f>
      </x:c>
      <x:c r="U96" s="2" t="str">
        <x:f>IF(A96&lt;DATE(2025,12,1),"",ROUND(T96*IF(D96="Christmas",Notes!$B$9,Notes!$B$8),0))</x:f>
      </x:c>
      <x:c r="V96" s="2" t="str">
        <x:f>IF(A96&lt;DATE(2025,12,1),"",ABS(T96-F96))</x:f>
      </x:c>
      <x:c r="W96" s="2" t="str">
        <x:f>IF(A96&lt;DATE(2025,12,1),"",ABS(U96-F96))</x:f>
      </x:c>
      <x:c r="X96" s="2" t="str">
        <x:f>IF(A96&lt;DATE(2025,12,1),"",T96-F96)</x:f>
      </x:c>
      <x:c r="Y96" s="2" t="str">
        <x:f>IF(A96&lt;DATE(2025,12,1),"",U96-F96)</x:f>
      </x:c>
      <x:c r="Z96" s="2" t="n">
        <x:f>IF(N96&gt;0,1,0)</x:f>
        <x:v>0</x:v>
      </x:c>
    </x:row>
    <x:row r="97" ht="21" customHeight="1">
      <x:c r="A97" s="6" t="n">
        <x:f>'Daily inputs'!A97</x:f>
        <x:v>45977</x:v>
      </x:c>
      <x:c r="B97" s="2" t="str">
        <x:f>'Daily inputs'!B97</x:f>
        <x:v>I06</x:v>
      </x:c>
      <x:c r="C97" s="2" t="n">
        <x:f>'Daily inputs'!C97</x:f>
        <x:v>7</x:v>
      </x:c>
      <x:c r="D97" s="2" t="str">
        <x:f>'Daily inputs'!D97</x:f>
        <x:v>Training</x:v>
      </x:c>
      <x:c r="E97" s="7" t="n">
        <x:f>'Daily inputs'!E97</x:f>
        <x:v>3</x:v>
      </x:c>
      <x:c r="F97" s="2" t="n">
        <x:f>'Daily inputs'!F97</x:f>
        <x:v>33</x:v>
      </x:c>
      <x:c r="G97" s="2" t="n">
        <x:f>'Daily inputs'!G97</x:f>
        <x:v>6</x:v>
      </x:c>
      <x:c r="H97" s="2" t="n">
        <x:f>'Daily inputs'!H97</x:f>
        <x:v>32</x:v>
      </x:c>
      <x:c r="I97" s="2" t="n">
        <x:f>'Daily inputs'!I97</x:f>
        <x:v>0</x:v>
      </x:c>
      <x:c r="J97" s="2" t="n">
        <x:f>'Daily inputs'!J97</x:f>
        <x:v>0</x:v>
      </x:c>
      <x:c r="K97" s="2" t="n">
        <x:f>'Daily inputs'!K97</x:f>
        <x:v>0</x:v>
      </x:c>
      <x:c r="L97" s="2" t="n">
        <x:f>MIN(F97,G97+H97-I97)</x:f>
        <x:v>33</x:v>
      </x:c>
      <x:c r="M97" s="2" t="n">
        <x:f>G97+H97-L97-I97</x:f>
        <x:v>5</x:v>
      </x:c>
      <x:c r="N97" s="2" t="n">
        <x:f>F97-L97</x:f>
        <x:v>0</x:v>
      </x:c>
      <x:c r="O97" s="2" t="n">
        <x:f>N97-J97</x:f>
        <x:v>0</x:v>
      </x:c>
      <x:c r="P97" s="2" t="n">
        <x:f>L97+I97</x:f>
        <x:v>33</x:v>
      </x:c>
      <x:c r="Q97" s="8" t="n">
        <x:f>P97*E97</x:f>
        <x:v>99</x:v>
      </x:c>
      <x:c r="R97" s="8" t="n">
        <x:f>I97*E97</x:f>
        <x:v>0</x:v>
      </x:c>
      <x:c r="S97" s="8" t="n">
        <x:f>O97*E97</x:f>
        <x:v>0</x:v>
      </x:c>
      <x:c r="T97" s="2" t="str">
        <x:f>IF(A97&lt;DATE(2025,12,1),"",IF(D97="Closed",0,ROUND(AVERAGEIFS('Daily inputs'!$F$2:$F$367,'Daily inputs'!$B$2:$B$367,B97,'Daily inputs'!$C$2:$C$367,C97,'Daily inputs'!$D$2:$D$367,"Training"),0)))</x:f>
      </x:c>
      <x:c r="U97" s="2" t="str">
        <x:f>IF(A97&lt;DATE(2025,12,1),"",ROUND(T97*IF(D97="Christmas",Notes!$B$9,Notes!$B$8),0))</x:f>
      </x:c>
      <x:c r="V97" s="2" t="str">
        <x:f>IF(A97&lt;DATE(2025,12,1),"",ABS(T97-F97))</x:f>
      </x:c>
      <x:c r="W97" s="2" t="str">
        <x:f>IF(A97&lt;DATE(2025,12,1),"",ABS(U97-F97))</x:f>
      </x:c>
      <x:c r="X97" s="2" t="str">
        <x:f>IF(A97&lt;DATE(2025,12,1),"",T97-F97)</x:f>
      </x:c>
      <x:c r="Y97" s="2" t="str">
        <x:f>IF(A97&lt;DATE(2025,12,1),"",U97-F97)</x:f>
      </x:c>
      <x:c r="Z97" s="2" t="n">
        <x:f>IF(N97&gt;0,1,0)</x:f>
        <x:v>0</x:v>
      </x:c>
    </x:row>
    <x:row r="98" ht="21" customHeight="1">
      <x:c r="A98" s="6" t="n">
        <x:f>'Daily inputs'!A98</x:f>
        <x:v>45978</x:v>
      </x:c>
      <x:c r="B98" s="2" t="str">
        <x:f>'Daily inputs'!B98</x:f>
        <x:v>I01</x:v>
      </x:c>
      <x:c r="C98" s="2" t="n">
        <x:f>'Daily inputs'!C98</x:f>
        <x:v>1</x:v>
      </x:c>
      <x:c r="D98" s="2" t="str">
        <x:f>'Daily inputs'!D98</x:f>
        <x:v>Training</x:v>
      </x:c>
      <x:c r="E98" s="7" t="n">
        <x:f>'Daily inputs'!E98</x:f>
        <x:v>8.5</x:v>
      </x:c>
      <x:c r="F98" s="2" t="n">
        <x:f>'Daily inputs'!F98</x:f>
        <x:v>60</x:v>
      </x:c>
      <x:c r="G98" s="2" t="n">
        <x:f>'Daily inputs'!G98</x:f>
        <x:v>12</x:v>
      </x:c>
      <x:c r="H98" s="2" t="n">
        <x:f>'Daily inputs'!H98</x:f>
        <x:v>57</x:v>
      </x:c>
      <x:c r="I98" s="2" t="n">
        <x:f>'Daily inputs'!I98</x:f>
        <x:v>0</x:v>
      </x:c>
      <x:c r="J98" s="2" t="n">
        <x:f>'Daily inputs'!J98</x:f>
        <x:v>0</x:v>
      </x:c>
      <x:c r="K98" s="2" t="n">
        <x:f>'Daily inputs'!K98</x:f>
        <x:v>0</x:v>
      </x:c>
      <x:c r="L98" s="2" t="n">
        <x:f>MIN(F98,G98+H98-I98)</x:f>
        <x:v>60</x:v>
      </x:c>
      <x:c r="M98" s="2" t="n">
        <x:f>G98+H98-L98-I98</x:f>
        <x:v>9</x:v>
      </x:c>
      <x:c r="N98" s="2" t="n">
        <x:f>F98-L98</x:f>
        <x:v>0</x:v>
      </x:c>
      <x:c r="O98" s="2" t="n">
        <x:f>N98-J98</x:f>
        <x:v>0</x:v>
      </x:c>
      <x:c r="P98" s="2" t="n">
        <x:f>L98+I98</x:f>
        <x:v>60</x:v>
      </x:c>
      <x:c r="Q98" s="8" t="n">
        <x:f>P98*E98</x:f>
        <x:v>510</x:v>
      </x:c>
      <x:c r="R98" s="8" t="n">
        <x:f>I98*E98</x:f>
        <x:v>0</x:v>
      </x:c>
      <x:c r="S98" s="8" t="n">
        <x:f>O98*E98</x:f>
        <x:v>0</x:v>
      </x:c>
      <x:c r="T98" s="2" t="str">
        <x:f>IF(A98&lt;DATE(2025,12,1),"",IF(D98="Closed",0,ROUND(AVERAGEIFS('Daily inputs'!$F$2:$F$367,'Daily inputs'!$B$2:$B$367,B98,'Daily inputs'!$C$2:$C$367,C98,'Daily inputs'!$D$2:$D$367,"Training"),0)))</x:f>
      </x:c>
      <x:c r="U98" s="2" t="str">
        <x:f>IF(A98&lt;DATE(2025,12,1),"",ROUND(T98*IF(D98="Christmas",Notes!$B$9,Notes!$B$8),0))</x:f>
      </x:c>
      <x:c r="V98" s="2" t="str">
        <x:f>IF(A98&lt;DATE(2025,12,1),"",ABS(T98-F98))</x:f>
      </x:c>
      <x:c r="W98" s="2" t="str">
        <x:f>IF(A98&lt;DATE(2025,12,1),"",ABS(U98-F98))</x:f>
      </x:c>
      <x:c r="X98" s="2" t="str">
        <x:f>IF(A98&lt;DATE(2025,12,1),"",T98-F98)</x:f>
      </x:c>
      <x:c r="Y98" s="2" t="str">
        <x:f>IF(A98&lt;DATE(2025,12,1),"",U98-F98)</x:f>
      </x:c>
      <x:c r="Z98" s="2" t="n">
        <x:f>IF(N98&gt;0,1,0)</x:f>
        <x:v>0</x:v>
      </x:c>
    </x:row>
    <x:row r="99" ht="21" customHeight="1">
      <x:c r="A99" s="6" t="n">
        <x:f>'Daily inputs'!A99</x:f>
        <x:v>45978</x:v>
      </x:c>
      <x:c r="B99" s="2" t="str">
        <x:f>'Daily inputs'!B99</x:f>
        <x:v>I02</x:v>
      </x:c>
      <x:c r="C99" s="2" t="n">
        <x:f>'Daily inputs'!C99</x:f>
        <x:v>1</x:v>
      </x:c>
      <x:c r="D99" s="2" t="str">
        <x:f>'Daily inputs'!D99</x:f>
        <x:v>Training</x:v>
      </x:c>
      <x:c r="E99" s="7" t="n">
        <x:f>'Daily inputs'!E99</x:f>
        <x:v>8</x:v>
      </x:c>
      <x:c r="F99" s="2" t="n">
        <x:f>'Daily inputs'!F99</x:f>
        <x:v>51</x:v>
      </x:c>
      <x:c r="G99" s="2" t="n">
        <x:f>'Daily inputs'!G99</x:f>
        <x:v>10</x:v>
      </x:c>
      <x:c r="H99" s="2" t="n">
        <x:f>'Daily inputs'!H99</x:f>
        <x:v>49</x:v>
      </x:c>
      <x:c r="I99" s="2" t="n">
        <x:f>'Daily inputs'!I99</x:f>
        <x:v>0</x:v>
      </x:c>
      <x:c r="J99" s="2" t="n">
        <x:f>'Daily inputs'!J99</x:f>
        <x:v>0</x:v>
      </x:c>
      <x:c r="K99" s="2" t="n">
        <x:f>'Daily inputs'!K99</x:f>
        <x:v>0</x:v>
      </x:c>
      <x:c r="L99" s="2" t="n">
        <x:f>MIN(F99,G99+H99-I99)</x:f>
        <x:v>51</x:v>
      </x:c>
      <x:c r="M99" s="2" t="n">
        <x:f>G99+H99-L99-I99</x:f>
        <x:v>8</x:v>
      </x:c>
      <x:c r="N99" s="2" t="n">
        <x:f>F99-L99</x:f>
        <x:v>0</x:v>
      </x:c>
      <x:c r="O99" s="2" t="n">
        <x:f>N99-J99</x:f>
        <x:v>0</x:v>
      </x:c>
      <x:c r="P99" s="2" t="n">
        <x:f>L99+I99</x:f>
        <x:v>51</x:v>
      </x:c>
      <x:c r="Q99" s="8" t="n">
        <x:f>P99*E99</x:f>
        <x:v>408</x:v>
      </x:c>
      <x:c r="R99" s="8" t="n">
        <x:f>I99*E99</x:f>
        <x:v>0</x:v>
      </x:c>
      <x:c r="S99" s="8" t="n">
        <x:f>O99*E99</x:f>
        <x:v>0</x:v>
      </x:c>
      <x:c r="T99" s="2" t="str">
        <x:f>IF(A99&lt;DATE(2025,12,1),"",IF(D99="Closed",0,ROUND(AVERAGEIFS('Daily inputs'!$F$2:$F$367,'Daily inputs'!$B$2:$B$367,B99,'Daily inputs'!$C$2:$C$367,C99,'Daily inputs'!$D$2:$D$367,"Training"),0)))</x:f>
      </x:c>
      <x:c r="U99" s="2" t="str">
        <x:f>IF(A99&lt;DATE(2025,12,1),"",ROUND(T99*IF(D99="Christmas",Notes!$B$9,Notes!$B$8),0))</x:f>
      </x:c>
      <x:c r="V99" s="2" t="str">
        <x:f>IF(A99&lt;DATE(2025,12,1),"",ABS(T99-F99))</x:f>
      </x:c>
      <x:c r="W99" s="2" t="str">
        <x:f>IF(A99&lt;DATE(2025,12,1),"",ABS(U99-F99))</x:f>
      </x:c>
      <x:c r="X99" s="2" t="str">
        <x:f>IF(A99&lt;DATE(2025,12,1),"",T99-F99)</x:f>
      </x:c>
      <x:c r="Y99" s="2" t="str">
        <x:f>IF(A99&lt;DATE(2025,12,1),"",U99-F99)</x:f>
      </x:c>
      <x:c r="Z99" s="2" t="n">
        <x:f>IF(N99&gt;0,1,0)</x:f>
        <x:v>0</x:v>
      </x:c>
    </x:row>
    <x:row r="100" ht="21" customHeight="1">
      <x:c r="A100" s="6" t="n">
        <x:f>'Daily inputs'!A100</x:f>
        <x:v>45978</x:v>
      </x:c>
      <x:c r="B100" s="2" t="str">
        <x:f>'Daily inputs'!B100</x:f>
        <x:v>I03</x:v>
      </x:c>
      <x:c r="C100" s="2" t="n">
        <x:f>'Daily inputs'!C100</x:f>
        <x:v>1</x:v>
      </x:c>
      <x:c r="D100" s="2" t="str">
        <x:f>'Daily inputs'!D100</x:f>
        <x:v>Training</x:v>
      </x:c>
      <x:c r="E100" s="7" t="n">
        <x:f>'Daily inputs'!E100</x:f>
        <x:v>7.5</x:v>
      </x:c>
      <x:c r="F100" s="2" t="n">
        <x:f>'Daily inputs'!F100</x:f>
        <x:v>28</x:v>
      </x:c>
      <x:c r="G100" s="2" t="n">
        <x:f>'Daily inputs'!G100</x:f>
        <x:v>6</x:v>
      </x:c>
      <x:c r="H100" s="2" t="n">
        <x:f>'Daily inputs'!H100</x:f>
        <x:v>26</x:v>
      </x:c>
      <x:c r="I100" s="2" t="n">
        <x:f>'Daily inputs'!I100</x:f>
        <x:v>0</x:v>
      </x:c>
      <x:c r="J100" s="2" t="n">
        <x:f>'Daily inputs'!J100</x:f>
        <x:v>0</x:v>
      </x:c>
      <x:c r="K100" s="2" t="n">
        <x:f>'Daily inputs'!K100</x:f>
        <x:v>0</x:v>
      </x:c>
      <x:c r="L100" s="2" t="n">
        <x:f>MIN(F100,G100+H100-I100)</x:f>
        <x:v>28</x:v>
      </x:c>
      <x:c r="M100" s="2" t="n">
        <x:f>G100+H100-L100-I100</x:f>
        <x:v>4</x:v>
      </x:c>
      <x:c r="N100" s="2" t="n">
        <x:f>F100-L100</x:f>
        <x:v>0</x:v>
      </x:c>
      <x:c r="O100" s="2" t="n">
        <x:f>N100-J100</x:f>
        <x:v>0</x:v>
      </x:c>
      <x:c r="P100" s="2" t="n">
        <x:f>L100+I100</x:f>
        <x:v>28</x:v>
      </x:c>
      <x:c r="Q100" s="8" t="n">
        <x:f>P100*E100</x:f>
        <x:v>210</x:v>
      </x:c>
      <x:c r="R100" s="8" t="n">
        <x:f>I100*E100</x:f>
        <x:v>0</x:v>
      </x:c>
      <x:c r="S100" s="8" t="n">
        <x:f>O100*E100</x:f>
        <x:v>0</x:v>
      </x:c>
      <x:c r="T100" s="2" t="str">
        <x:f>IF(A100&lt;DATE(2025,12,1),"",IF(D100="Closed",0,ROUND(AVERAGEIFS('Daily inputs'!$F$2:$F$367,'Daily inputs'!$B$2:$B$367,B100,'Daily inputs'!$C$2:$C$367,C100,'Daily inputs'!$D$2:$D$367,"Training"),0)))</x:f>
      </x:c>
      <x:c r="U100" s="2" t="str">
        <x:f>IF(A100&lt;DATE(2025,12,1),"",ROUND(T100*IF(D100="Christmas",Notes!$B$9,Notes!$B$8),0))</x:f>
      </x:c>
      <x:c r="V100" s="2" t="str">
        <x:f>IF(A100&lt;DATE(2025,12,1),"",ABS(T100-F100))</x:f>
      </x:c>
      <x:c r="W100" s="2" t="str">
        <x:f>IF(A100&lt;DATE(2025,12,1),"",ABS(U100-F100))</x:f>
      </x:c>
      <x:c r="X100" s="2" t="str">
        <x:f>IF(A100&lt;DATE(2025,12,1),"",T100-F100)</x:f>
      </x:c>
      <x:c r="Y100" s="2" t="str">
        <x:f>IF(A100&lt;DATE(2025,12,1),"",U100-F100)</x:f>
      </x:c>
      <x:c r="Z100" s="2" t="n">
        <x:f>IF(N100&gt;0,1,0)</x:f>
        <x:v>0</x:v>
      </x:c>
    </x:row>
    <x:row r="101" ht="21" customHeight="1">
      <x:c r="A101" s="6" t="n">
        <x:f>'Daily inputs'!A101</x:f>
        <x:v>45978</x:v>
      </x:c>
      <x:c r="B101" s="2" t="str">
        <x:f>'Daily inputs'!B101</x:f>
        <x:v>I04</x:v>
      </x:c>
      <x:c r="C101" s="2" t="n">
        <x:f>'Daily inputs'!C101</x:f>
        <x:v>1</x:v>
      </x:c>
      <x:c r="D101" s="2" t="str">
        <x:f>'Daily inputs'!D101</x:f>
        <x:v>Training</x:v>
      </x:c>
      <x:c r="E101" s="7" t="n">
        <x:f>'Daily inputs'!E101</x:f>
        <x:v>9</x:v>
      </x:c>
      <x:c r="F101" s="2" t="n">
        <x:f>'Daily inputs'!F101</x:f>
        <x:v>32</x:v>
      </x:c>
      <x:c r="G101" s="2" t="n">
        <x:f>'Daily inputs'!G101</x:f>
        <x:v>6</x:v>
      </x:c>
      <x:c r="H101" s="2" t="n">
        <x:f>'Daily inputs'!H101</x:f>
        <x:v>31</x:v>
      </x:c>
      <x:c r="I101" s="2" t="n">
        <x:f>'Daily inputs'!I101</x:f>
        <x:v>0</x:v>
      </x:c>
      <x:c r="J101" s="2" t="n">
        <x:f>'Daily inputs'!J101</x:f>
        <x:v>0</x:v>
      </x:c>
      <x:c r="K101" s="2" t="n">
        <x:f>'Daily inputs'!K101</x:f>
        <x:v>0</x:v>
      </x:c>
      <x:c r="L101" s="2" t="n">
        <x:f>MIN(F101,G101+H101-I101)</x:f>
        <x:v>32</x:v>
      </x:c>
      <x:c r="M101" s="2" t="n">
        <x:f>G101+H101-L101-I101</x:f>
        <x:v>5</x:v>
      </x:c>
      <x:c r="N101" s="2" t="n">
        <x:f>F101-L101</x:f>
        <x:v>0</x:v>
      </x:c>
      <x:c r="O101" s="2" t="n">
        <x:f>N101-J101</x:f>
        <x:v>0</x:v>
      </x:c>
      <x:c r="P101" s="2" t="n">
        <x:f>L101+I101</x:f>
        <x:v>32</x:v>
      </x:c>
      <x:c r="Q101" s="8" t="n">
        <x:f>P101*E101</x:f>
        <x:v>288</x:v>
      </x:c>
      <x:c r="R101" s="8" t="n">
        <x:f>I101*E101</x:f>
        <x:v>0</x:v>
      </x:c>
      <x:c r="S101" s="8" t="n">
        <x:f>O101*E101</x:f>
        <x:v>0</x:v>
      </x:c>
      <x:c r="T101" s="2" t="str">
        <x:f>IF(A101&lt;DATE(2025,12,1),"",IF(D101="Closed",0,ROUND(AVERAGEIFS('Daily inputs'!$F$2:$F$367,'Daily inputs'!$B$2:$B$367,B101,'Daily inputs'!$C$2:$C$367,C101,'Daily inputs'!$D$2:$D$367,"Training"),0)))</x:f>
      </x:c>
      <x:c r="U101" s="2" t="str">
        <x:f>IF(A101&lt;DATE(2025,12,1),"",ROUND(T101*IF(D101="Christmas",Notes!$B$9,Notes!$B$8),0))</x:f>
      </x:c>
      <x:c r="V101" s="2" t="str">
        <x:f>IF(A101&lt;DATE(2025,12,1),"",ABS(T101-F101))</x:f>
      </x:c>
      <x:c r="W101" s="2" t="str">
        <x:f>IF(A101&lt;DATE(2025,12,1),"",ABS(U101-F101))</x:f>
      </x:c>
      <x:c r="X101" s="2" t="str">
        <x:f>IF(A101&lt;DATE(2025,12,1),"",T101-F101)</x:f>
      </x:c>
      <x:c r="Y101" s="2" t="str">
        <x:f>IF(A101&lt;DATE(2025,12,1),"",U101-F101)</x:f>
      </x:c>
      <x:c r="Z101" s="2" t="n">
        <x:f>IF(N101&gt;0,1,0)</x:f>
        <x:v>0</x:v>
      </x:c>
    </x:row>
    <x:row r="102" ht="21" customHeight="1">
      <x:c r="A102" s="6" t="n">
        <x:f>'Daily inputs'!A102</x:f>
        <x:v>45978</x:v>
      </x:c>
      <x:c r="B102" s="2" t="str">
        <x:f>'Daily inputs'!B102</x:f>
        <x:v>I05</x:v>
      </x:c>
      <x:c r="C102" s="2" t="n">
        <x:f>'Daily inputs'!C102</x:f>
        <x:v>1</x:v>
      </x:c>
      <x:c r="D102" s="2" t="str">
        <x:f>'Daily inputs'!D102</x:f>
        <x:v>Training</x:v>
      </x:c>
      <x:c r="E102" s="7" t="n">
        <x:f>'Daily inputs'!E102</x:f>
        <x:v>3.5</x:v>
      </x:c>
      <x:c r="F102" s="2" t="n">
        <x:f>'Daily inputs'!F102</x:f>
        <x:v>72</x:v>
      </x:c>
      <x:c r="G102" s="2" t="n">
        <x:f>'Daily inputs'!G102</x:f>
        <x:v>13</x:v>
      </x:c>
      <x:c r="H102" s="2" t="n">
        <x:f>'Daily inputs'!H102</x:f>
        <x:v>70</x:v>
      </x:c>
      <x:c r="I102" s="2" t="n">
        <x:f>'Daily inputs'!I102</x:f>
        <x:v>0</x:v>
      </x:c>
      <x:c r="J102" s="2" t="n">
        <x:f>'Daily inputs'!J102</x:f>
        <x:v>0</x:v>
      </x:c>
      <x:c r="K102" s="2" t="n">
        <x:f>'Daily inputs'!K102</x:f>
        <x:v>0</x:v>
      </x:c>
      <x:c r="L102" s="2" t="n">
        <x:f>MIN(F102,G102+H102-I102)</x:f>
        <x:v>72</x:v>
      </x:c>
      <x:c r="M102" s="2" t="n">
        <x:f>G102+H102-L102-I102</x:f>
        <x:v>11</x:v>
      </x:c>
      <x:c r="N102" s="2" t="n">
        <x:f>F102-L102</x:f>
        <x:v>0</x:v>
      </x:c>
      <x:c r="O102" s="2" t="n">
        <x:f>N102-J102</x:f>
        <x:v>0</x:v>
      </x:c>
      <x:c r="P102" s="2" t="n">
        <x:f>L102+I102</x:f>
        <x:v>72</x:v>
      </x:c>
      <x:c r="Q102" s="8" t="n">
        <x:f>P102*E102</x:f>
        <x:v>252</x:v>
      </x:c>
      <x:c r="R102" s="8" t="n">
        <x:f>I102*E102</x:f>
        <x:v>0</x:v>
      </x:c>
      <x:c r="S102" s="8" t="n">
        <x:f>O102*E102</x:f>
        <x:v>0</x:v>
      </x:c>
      <x:c r="T102" s="2" t="str">
        <x:f>IF(A102&lt;DATE(2025,12,1),"",IF(D102="Closed",0,ROUND(AVERAGEIFS('Daily inputs'!$F$2:$F$367,'Daily inputs'!$B$2:$B$367,B102,'Daily inputs'!$C$2:$C$367,C102,'Daily inputs'!$D$2:$D$367,"Training"),0)))</x:f>
      </x:c>
      <x:c r="U102" s="2" t="str">
        <x:f>IF(A102&lt;DATE(2025,12,1),"",ROUND(T102*IF(D102="Christmas",Notes!$B$9,Notes!$B$8),0))</x:f>
      </x:c>
      <x:c r="V102" s="2" t="str">
        <x:f>IF(A102&lt;DATE(2025,12,1),"",ABS(T102-F102))</x:f>
      </x:c>
      <x:c r="W102" s="2" t="str">
        <x:f>IF(A102&lt;DATE(2025,12,1),"",ABS(U102-F102))</x:f>
      </x:c>
      <x:c r="X102" s="2" t="str">
        <x:f>IF(A102&lt;DATE(2025,12,1),"",T102-F102)</x:f>
      </x:c>
      <x:c r="Y102" s="2" t="str">
        <x:f>IF(A102&lt;DATE(2025,12,1),"",U102-F102)</x:f>
      </x:c>
      <x:c r="Z102" s="2" t="n">
        <x:f>IF(N102&gt;0,1,0)</x:f>
        <x:v>0</x:v>
      </x:c>
    </x:row>
    <x:row r="103" ht="21" customHeight="1">
      <x:c r="A103" s="6" t="n">
        <x:f>'Daily inputs'!A103</x:f>
        <x:v>45978</x:v>
      </x:c>
      <x:c r="B103" s="2" t="str">
        <x:f>'Daily inputs'!B103</x:f>
        <x:v>I06</x:v>
      </x:c>
      <x:c r="C103" s="2" t="n">
        <x:f>'Daily inputs'!C103</x:f>
        <x:v>1</x:v>
      </x:c>
      <x:c r="D103" s="2" t="str">
        <x:f>'Daily inputs'!D103</x:f>
        <x:v>Training</x:v>
      </x:c>
      <x:c r="E103" s="7" t="n">
        <x:f>'Daily inputs'!E103</x:f>
        <x:v>3</x:v>
      </x:c>
      <x:c r="F103" s="2" t="n">
        <x:f>'Daily inputs'!F103</x:f>
        <x:v>25</x:v>
      </x:c>
      <x:c r="G103" s="2" t="n">
        <x:f>'Daily inputs'!G103</x:f>
        <x:v>5</x:v>
      </x:c>
      <x:c r="H103" s="2" t="n">
        <x:f>'Daily inputs'!H103</x:f>
        <x:v>24</x:v>
      </x:c>
      <x:c r="I103" s="2" t="n">
        <x:f>'Daily inputs'!I103</x:f>
        <x:v>0</x:v>
      </x:c>
      <x:c r="J103" s="2" t="n">
        <x:f>'Daily inputs'!J103</x:f>
        <x:v>0</x:v>
      </x:c>
      <x:c r="K103" s="2" t="n">
        <x:f>'Daily inputs'!K103</x:f>
        <x:v>0</x:v>
      </x:c>
      <x:c r="L103" s="2" t="n">
        <x:f>MIN(F103,G103+H103-I103)</x:f>
        <x:v>25</x:v>
      </x:c>
      <x:c r="M103" s="2" t="n">
        <x:f>G103+H103-L103-I103</x:f>
        <x:v>4</x:v>
      </x:c>
      <x:c r="N103" s="2" t="n">
        <x:f>F103-L103</x:f>
        <x:v>0</x:v>
      </x:c>
      <x:c r="O103" s="2" t="n">
        <x:f>N103-J103</x:f>
        <x:v>0</x:v>
      </x:c>
      <x:c r="P103" s="2" t="n">
        <x:f>L103+I103</x:f>
        <x:v>25</x:v>
      </x:c>
      <x:c r="Q103" s="8" t="n">
        <x:f>P103*E103</x:f>
        <x:v>75</x:v>
      </x:c>
      <x:c r="R103" s="8" t="n">
        <x:f>I103*E103</x:f>
        <x:v>0</x:v>
      </x:c>
      <x:c r="S103" s="8" t="n">
        <x:f>O103*E103</x:f>
        <x:v>0</x:v>
      </x:c>
      <x:c r="T103" s="2" t="str">
        <x:f>IF(A103&lt;DATE(2025,12,1),"",IF(D103="Closed",0,ROUND(AVERAGEIFS('Daily inputs'!$F$2:$F$367,'Daily inputs'!$B$2:$B$367,B103,'Daily inputs'!$C$2:$C$367,C103,'Daily inputs'!$D$2:$D$367,"Training"),0)))</x:f>
      </x:c>
      <x:c r="U103" s="2" t="str">
        <x:f>IF(A103&lt;DATE(2025,12,1),"",ROUND(T103*IF(D103="Christmas",Notes!$B$9,Notes!$B$8),0))</x:f>
      </x:c>
      <x:c r="V103" s="2" t="str">
        <x:f>IF(A103&lt;DATE(2025,12,1),"",ABS(T103-F103))</x:f>
      </x:c>
      <x:c r="W103" s="2" t="str">
        <x:f>IF(A103&lt;DATE(2025,12,1),"",ABS(U103-F103))</x:f>
      </x:c>
      <x:c r="X103" s="2" t="str">
        <x:f>IF(A103&lt;DATE(2025,12,1),"",T103-F103)</x:f>
      </x:c>
      <x:c r="Y103" s="2" t="str">
        <x:f>IF(A103&lt;DATE(2025,12,1),"",U103-F103)</x:f>
      </x:c>
      <x:c r="Z103" s="2" t="n">
        <x:f>IF(N103&gt;0,1,0)</x:f>
        <x:v>0</x:v>
      </x:c>
    </x:row>
    <x:row r="104" ht="21" customHeight="1">
      <x:c r="A104" s="6" t="n">
        <x:f>'Daily inputs'!A104</x:f>
        <x:v>45979</x:v>
      </x:c>
      <x:c r="B104" s="2" t="str">
        <x:f>'Daily inputs'!B104</x:f>
        <x:v>I01</x:v>
      </x:c>
      <x:c r="C104" s="2" t="n">
        <x:f>'Daily inputs'!C104</x:f>
        <x:v>2</x:v>
      </x:c>
      <x:c r="D104" s="2" t="str">
        <x:f>'Daily inputs'!D104</x:f>
        <x:v>Training</x:v>
      </x:c>
      <x:c r="E104" s="7" t="n">
        <x:f>'Daily inputs'!E104</x:f>
        <x:v>8.5</x:v>
      </x:c>
      <x:c r="F104" s="2" t="n">
        <x:f>'Daily inputs'!F104</x:f>
        <x:v>65</x:v>
      </x:c>
      <x:c r="G104" s="2" t="n">
        <x:f>'Daily inputs'!G104</x:f>
        <x:v>9</x:v>
      </x:c>
      <x:c r="H104" s="2" t="n">
        <x:f>'Daily inputs'!H104</x:f>
        <x:v>66</x:v>
      </x:c>
      <x:c r="I104" s="2" t="n">
        <x:f>'Daily inputs'!I104</x:f>
        <x:v>0</x:v>
      </x:c>
      <x:c r="J104" s="2" t="n">
        <x:f>'Daily inputs'!J104</x:f>
        <x:v>0</x:v>
      </x:c>
      <x:c r="K104" s="2" t="n">
        <x:f>'Daily inputs'!K104</x:f>
        <x:v>0</x:v>
      </x:c>
      <x:c r="L104" s="2" t="n">
        <x:f>MIN(F104,G104+H104-I104)</x:f>
        <x:v>65</x:v>
      </x:c>
      <x:c r="M104" s="2" t="n">
        <x:f>G104+H104-L104-I104</x:f>
        <x:v>10</x:v>
      </x:c>
      <x:c r="N104" s="2" t="n">
        <x:f>F104-L104</x:f>
        <x:v>0</x:v>
      </x:c>
      <x:c r="O104" s="2" t="n">
        <x:f>N104-J104</x:f>
        <x:v>0</x:v>
      </x:c>
      <x:c r="P104" s="2" t="n">
        <x:f>L104+I104</x:f>
        <x:v>65</x:v>
      </x:c>
      <x:c r="Q104" s="8" t="n">
        <x:f>P104*E104</x:f>
        <x:v>552.5</x:v>
      </x:c>
      <x:c r="R104" s="8" t="n">
        <x:f>I104*E104</x:f>
        <x:v>0</x:v>
      </x:c>
      <x:c r="S104" s="8" t="n">
        <x:f>O104*E104</x:f>
        <x:v>0</x:v>
      </x:c>
      <x:c r="T104" s="2" t="str">
        <x:f>IF(A104&lt;DATE(2025,12,1),"",IF(D104="Closed",0,ROUND(AVERAGEIFS('Daily inputs'!$F$2:$F$367,'Daily inputs'!$B$2:$B$367,B104,'Daily inputs'!$C$2:$C$367,C104,'Daily inputs'!$D$2:$D$367,"Training"),0)))</x:f>
      </x:c>
      <x:c r="U104" s="2" t="str">
        <x:f>IF(A104&lt;DATE(2025,12,1),"",ROUND(T104*IF(D104="Christmas",Notes!$B$9,Notes!$B$8),0))</x:f>
      </x:c>
      <x:c r="V104" s="2" t="str">
        <x:f>IF(A104&lt;DATE(2025,12,1),"",ABS(T104-F104))</x:f>
      </x:c>
      <x:c r="W104" s="2" t="str">
        <x:f>IF(A104&lt;DATE(2025,12,1),"",ABS(U104-F104))</x:f>
      </x:c>
      <x:c r="X104" s="2" t="str">
        <x:f>IF(A104&lt;DATE(2025,12,1),"",T104-F104)</x:f>
      </x:c>
      <x:c r="Y104" s="2" t="str">
        <x:f>IF(A104&lt;DATE(2025,12,1),"",U104-F104)</x:f>
      </x:c>
      <x:c r="Z104" s="2" t="n">
        <x:f>IF(N104&gt;0,1,0)</x:f>
        <x:v>0</x:v>
      </x:c>
    </x:row>
    <x:row r="105" ht="21" customHeight="1">
      <x:c r="A105" s="6" t="n">
        <x:f>'Daily inputs'!A105</x:f>
        <x:v>45979</x:v>
      </x:c>
      <x:c r="B105" s="2" t="str">
        <x:f>'Daily inputs'!B105</x:f>
        <x:v>I02</x:v>
      </x:c>
      <x:c r="C105" s="2" t="n">
        <x:f>'Daily inputs'!C105</x:f>
        <x:v>2</x:v>
      </x:c>
      <x:c r="D105" s="2" t="str">
        <x:f>'Daily inputs'!D105</x:f>
        <x:v>Training</x:v>
      </x:c>
      <x:c r="E105" s="7" t="n">
        <x:f>'Daily inputs'!E105</x:f>
        <x:v>8</x:v>
      </x:c>
      <x:c r="F105" s="2" t="n">
        <x:f>'Daily inputs'!F105</x:f>
        <x:v>53</x:v>
      </x:c>
      <x:c r="G105" s="2" t="n">
        <x:f>'Daily inputs'!G105</x:f>
        <x:v>8</x:v>
      </x:c>
      <x:c r="H105" s="2" t="n">
        <x:f>'Daily inputs'!H105</x:f>
        <x:v>53</x:v>
      </x:c>
      <x:c r="I105" s="2" t="n">
        <x:f>'Daily inputs'!I105</x:f>
        <x:v>0</x:v>
      </x:c>
      <x:c r="J105" s="2" t="n">
        <x:f>'Daily inputs'!J105</x:f>
        <x:v>0</x:v>
      </x:c>
      <x:c r="K105" s="2" t="n">
        <x:f>'Daily inputs'!K105</x:f>
        <x:v>0</x:v>
      </x:c>
      <x:c r="L105" s="2" t="n">
        <x:f>MIN(F105,G105+H105-I105)</x:f>
        <x:v>53</x:v>
      </x:c>
      <x:c r="M105" s="2" t="n">
        <x:f>G105+H105-L105-I105</x:f>
        <x:v>8</x:v>
      </x:c>
      <x:c r="N105" s="2" t="n">
        <x:f>F105-L105</x:f>
        <x:v>0</x:v>
      </x:c>
      <x:c r="O105" s="2" t="n">
        <x:f>N105-J105</x:f>
        <x:v>0</x:v>
      </x:c>
      <x:c r="P105" s="2" t="n">
        <x:f>L105+I105</x:f>
        <x:v>53</x:v>
      </x:c>
      <x:c r="Q105" s="8" t="n">
        <x:f>P105*E105</x:f>
        <x:v>424</x:v>
      </x:c>
      <x:c r="R105" s="8" t="n">
        <x:f>I105*E105</x:f>
        <x:v>0</x:v>
      </x:c>
      <x:c r="S105" s="8" t="n">
        <x:f>O105*E105</x:f>
        <x:v>0</x:v>
      </x:c>
      <x:c r="T105" s="2" t="str">
        <x:f>IF(A105&lt;DATE(2025,12,1),"",IF(D105="Closed",0,ROUND(AVERAGEIFS('Daily inputs'!$F$2:$F$367,'Daily inputs'!$B$2:$B$367,B105,'Daily inputs'!$C$2:$C$367,C105,'Daily inputs'!$D$2:$D$367,"Training"),0)))</x:f>
      </x:c>
      <x:c r="U105" s="2" t="str">
        <x:f>IF(A105&lt;DATE(2025,12,1),"",ROUND(T105*IF(D105="Christmas",Notes!$B$9,Notes!$B$8),0))</x:f>
      </x:c>
      <x:c r="V105" s="2" t="str">
        <x:f>IF(A105&lt;DATE(2025,12,1),"",ABS(T105-F105))</x:f>
      </x:c>
      <x:c r="W105" s="2" t="str">
        <x:f>IF(A105&lt;DATE(2025,12,1),"",ABS(U105-F105))</x:f>
      </x:c>
      <x:c r="X105" s="2" t="str">
        <x:f>IF(A105&lt;DATE(2025,12,1),"",T105-F105)</x:f>
      </x:c>
      <x:c r="Y105" s="2" t="str">
        <x:f>IF(A105&lt;DATE(2025,12,1),"",U105-F105)</x:f>
      </x:c>
      <x:c r="Z105" s="2" t="n">
        <x:f>IF(N105&gt;0,1,0)</x:f>
        <x:v>0</x:v>
      </x:c>
    </x:row>
    <x:row r="106" ht="21" customHeight="1">
      <x:c r="A106" s="6" t="n">
        <x:f>'Daily inputs'!A106</x:f>
        <x:v>45979</x:v>
      </x:c>
      <x:c r="B106" s="2" t="str">
        <x:f>'Daily inputs'!B106</x:f>
        <x:v>I03</x:v>
      </x:c>
      <x:c r="C106" s="2" t="n">
        <x:f>'Daily inputs'!C106</x:f>
        <x:v>2</x:v>
      </x:c>
      <x:c r="D106" s="2" t="str">
        <x:f>'Daily inputs'!D106</x:f>
        <x:v>Training</x:v>
      </x:c>
      <x:c r="E106" s="7" t="n">
        <x:f>'Daily inputs'!E106</x:f>
        <x:v>7.5</x:v>
      </x:c>
      <x:c r="F106" s="2" t="n">
        <x:f>'Daily inputs'!F106</x:f>
        <x:v>32</x:v>
      </x:c>
      <x:c r="G106" s="2" t="n">
        <x:f>'Daily inputs'!G106</x:f>
        <x:v>4</x:v>
      </x:c>
      <x:c r="H106" s="2" t="n">
        <x:f>'Daily inputs'!H106</x:f>
        <x:v>33</x:v>
      </x:c>
      <x:c r="I106" s="2" t="n">
        <x:f>'Daily inputs'!I106</x:f>
        <x:v>0</x:v>
      </x:c>
      <x:c r="J106" s="2" t="n">
        <x:f>'Daily inputs'!J106</x:f>
        <x:v>0</x:v>
      </x:c>
      <x:c r="K106" s="2" t="n">
        <x:f>'Daily inputs'!K106</x:f>
        <x:v>0</x:v>
      </x:c>
      <x:c r="L106" s="2" t="n">
        <x:f>MIN(F106,G106+H106-I106)</x:f>
        <x:v>32</x:v>
      </x:c>
      <x:c r="M106" s="2" t="n">
        <x:f>G106+H106-L106-I106</x:f>
        <x:v>5</x:v>
      </x:c>
      <x:c r="N106" s="2" t="n">
        <x:f>F106-L106</x:f>
        <x:v>0</x:v>
      </x:c>
      <x:c r="O106" s="2" t="n">
        <x:f>N106-J106</x:f>
        <x:v>0</x:v>
      </x:c>
      <x:c r="P106" s="2" t="n">
        <x:f>L106+I106</x:f>
        <x:v>32</x:v>
      </x:c>
      <x:c r="Q106" s="8" t="n">
        <x:f>P106*E106</x:f>
        <x:v>240</x:v>
      </x:c>
      <x:c r="R106" s="8" t="n">
        <x:f>I106*E106</x:f>
        <x:v>0</x:v>
      </x:c>
      <x:c r="S106" s="8" t="n">
        <x:f>O106*E106</x:f>
        <x:v>0</x:v>
      </x:c>
      <x:c r="T106" s="2" t="str">
        <x:f>IF(A106&lt;DATE(2025,12,1),"",IF(D106="Closed",0,ROUND(AVERAGEIFS('Daily inputs'!$F$2:$F$367,'Daily inputs'!$B$2:$B$367,B106,'Daily inputs'!$C$2:$C$367,C106,'Daily inputs'!$D$2:$D$367,"Training"),0)))</x:f>
      </x:c>
      <x:c r="U106" s="2" t="str">
        <x:f>IF(A106&lt;DATE(2025,12,1),"",ROUND(T106*IF(D106="Christmas",Notes!$B$9,Notes!$B$8),0))</x:f>
      </x:c>
      <x:c r="V106" s="2" t="str">
        <x:f>IF(A106&lt;DATE(2025,12,1),"",ABS(T106-F106))</x:f>
      </x:c>
      <x:c r="W106" s="2" t="str">
        <x:f>IF(A106&lt;DATE(2025,12,1),"",ABS(U106-F106))</x:f>
      </x:c>
      <x:c r="X106" s="2" t="str">
        <x:f>IF(A106&lt;DATE(2025,12,1),"",T106-F106)</x:f>
      </x:c>
      <x:c r="Y106" s="2" t="str">
        <x:f>IF(A106&lt;DATE(2025,12,1),"",U106-F106)</x:f>
      </x:c>
      <x:c r="Z106" s="2" t="n">
        <x:f>IF(N106&gt;0,1,0)</x:f>
        <x:v>0</x:v>
      </x:c>
    </x:row>
    <x:row r="107" ht="21" customHeight="1">
      <x:c r="A107" s="6" t="n">
        <x:f>'Daily inputs'!A107</x:f>
        <x:v>45979</x:v>
      </x:c>
      <x:c r="B107" s="2" t="str">
        <x:f>'Daily inputs'!B107</x:f>
        <x:v>I04</x:v>
      </x:c>
      <x:c r="C107" s="2" t="n">
        <x:f>'Daily inputs'!C107</x:f>
        <x:v>2</x:v>
      </x:c>
      <x:c r="D107" s="2" t="str">
        <x:f>'Daily inputs'!D107</x:f>
        <x:v>Training</x:v>
      </x:c>
      <x:c r="E107" s="7" t="n">
        <x:f>'Daily inputs'!E107</x:f>
        <x:v>9</x:v>
      </x:c>
      <x:c r="F107" s="2" t="n">
        <x:f>'Daily inputs'!F107</x:f>
        <x:v>38</x:v>
      </x:c>
      <x:c r="G107" s="2" t="n">
        <x:f>'Daily inputs'!G107</x:f>
        <x:v>5</x:v>
      </x:c>
      <x:c r="H107" s="2" t="n">
        <x:f>'Daily inputs'!H107</x:f>
        <x:v>39</x:v>
      </x:c>
      <x:c r="I107" s="2" t="n">
        <x:f>'Daily inputs'!I107</x:f>
        <x:v>0</x:v>
      </x:c>
      <x:c r="J107" s="2" t="n">
        <x:f>'Daily inputs'!J107</x:f>
        <x:v>0</x:v>
      </x:c>
      <x:c r="K107" s="2" t="n">
        <x:f>'Daily inputs'!K107</x:f>
        <x:v>0</x:v>
      </x:c>
      <x:c r="L107" s="2" t="n">
        <x:f>MIN(F107,G107+H107-I107)</x:f>
        <x:v>38</x:v>
      </x:c>
      <x:c r="M107" s="2" t="n">
        <x:f>G107+H107-L107-I107</x:f>
        <x:v>6</x:v>
      </x:c>
      <x:c r="N107" s="2" t="n">
        <x:f>F107-L107</x:f>
        <x:v>0</x:v>
      </x:c>
      <x:c r="O107" s="2" t="n">
        <x:f>N107-J107</x:f>
        <x:v>0</x:v>
      </x:c>
      <x:c r="P107" s="2" t="n">
        <x:f>L107+I107</x:f>
        <x:v>38</x:v>
      </x:c>
      <x:c r="Q107" s="8" t="n">
        <x:f>P107*E107</x:f>
        <x:v>342</x:v>
      </x:c>
      <x:c r="R107" s="8" t="n">
        <x:f>I107*E107</x:f>
        <x:v>0</x:v>
      </x:c>
      <x:c r="S107" s="8" t="n">
        <x:f>O107*E107</x:f>
        <x:v>0</x:v>
      </x:c>
      <x:c r="T107" s="2" t="str">
        <x:f>IF(A107&lt;DATE(2025,12,1),"",IF(D107="Closed",0,ROUND(AVERAGEIFS('Daily inputs'!$F$2:$F$367,'Daily inputs'!$B$2:$B$367,B107,'Daily inputs'!$C$2:$C$367,C107,'Daily inputs'!$D$2:$D$367,"Training"),0)))</x:f>
      </x:c>
      <x:c r="U107" s="2" t="str">
        <x:f>IF(A107&lt;DATE(2025,12,1),"",ROUND(T107*IF(D107="Christmas",Notes!$B$9,Notes!$B$8),0))</x:f>
      </x:c>
      <x:c r="V107" s="2" t="str">
        <x:f>IF(A107&lt;DATE(2025,12,1),"",ABS(T107-F107))</x:f>
      </x:c>
      <x:c r="W107" s="2" t="str">
        <x:f>IF(A107&lt;DATE(2025,12,1),"",ABS(U107-F107))</x:f>
      </x:c>
      <x:c r="X107" s="2" t="str">
        <x:f>IF(A107&lt;DATE(2025,12,1),"",T107-F107)</x:f>
      </x:c>
      <x:c r="Y107" s="2" t="str">
        <x:f>IF(A107&lt;DATE(2025,12,1),"",U107-F107)</x:f>
      </x:c>
      <x:c r="Z107" s="2" t="n">
        <x:f>IF(N107&gt;0,1,0)</x:f>
        <x:v>0</x:v>
      </x:c>
    </x:row>
    <x:row r="108" ht="21" customHeight="1">
      <x:c r="A108" s="6" t="n">
        <x:f>'Daily inputs'!A108</x:f>
        <x:v>45979</x:v>
      </x:c>
      <x:c r="B108" s="2" t="str">
        <x:f>'Daily inputs'!B108</x:f>
        <x:v>I05</x:v>
      </x:c>
      <x:c r="C108" s="2" t="n">
        <x:f>'Daily inputs'!C108</x:f>
        <x:v>2</x:v>
      </x:c>
      <x:c r="D108" s="2" t="str">
        <x:f>'Daily inputs'!D108</x:f>
        <x:v>Training</x:v>
      </x:c>
      <x:c r="E108" s="7" t="n">
        <x:f>'Daily inputs'!E108</x:f>
        <x:v>3.5</x:v>
      </x:c>
      <x:c r="F108" s="2" t="n">
        <x:f>'Daily inputs'!F108</x:f>
        <x:v>72</x:v>
      </x:c>
      <x:c r="G108" s="2" t="n">
        <x:f>'Daily inputs'!G108</x:f>
        <x:v>11</x:v>
      </x:c>
      <x:c r="H108" s="2" t="n">
        <x:f>'Daily inputs'!H108</x:f>
        <x:v>72</x:v>
      </x:c>
      <x:c r="I108" s="2" t="n">
        <x:f>'Daily inputs'!I108</x:f>
        <x:v>0</x:v>
      </x:c>
      <x:c r="J108" s="2" t="n">
        <x:f>'Daily inputs'!J108</x:f>
        <x:v>0</x:v>
      </x:c>
      <x:c r="K108" s="2" t="n">
        <x:f>'Daily inputs'!K108</x:f>
        <x:v>0</x:v>
      </x:c>
      <x:c r="L108" s="2" t="n">
        <x:f>MIN(F108,G108+H108-I108)</x:f>
        <x:v>72</x:v>
      </x:c>
      <x:c r="M108" s="2" t="n">
        <x:f>G108+H108-L108-I108</x:f>
        <x:v>11</x:v>
      </x:c>
      <x:c r="N108" s="2" t="n">
        <x:f>F108-L108</x:f>
        <x:v>0</x:v>
      </x:c>
      <x:c r="O108" s="2" t="n">
        <x:f>N108-J108</x:f>
        <x:v>0</x:v>
      </x:c>
      <x:c r="P108" s="2" t="n">
        <x:f>L108+I108</x:f>
        <x:v>72</x:v>
      </x:c>
      <x:c r="Q108" s="8" t="n">
        <x:f>P108*E108</x:f>
        <x:v>252</x:v>
      </x:c>
      <x:c r="R108" s="8" t="n">
        <x:f>I108*E108</x:f>
        <x:v>0</x:v>
      </x:c>
      <x:c r="S108" s="8" t="n">
        <x:f>O108*E108</x:f>
        <x:v>0</x:v>
      </x:c>
      <x:c r="T108" s="2" t="str">
        <x:f>IF(A108&lt;DATE(2025,12,1),"",IF(D108="Closed",0,ROUND(AVERAGEIFS('Daily inputs'!$F$2:$F$367,'Daily inputs'!$B$2:$B$367,B108,'Daily inputs'!$C$2:$C$367,C108,'Daily inputs'!$D$2:$D$367,"Training"),0)))</x:f>
      </x:c>
      <x:c r="U108" s="2" t="str">
        <x:f>IF(A108&lt;DATE(2025,12,1),"",ROUND(T108*IF(D108="Christmas",Notes!$B$9,Notes!$B$8),0))</x:f>
      </x:c>
      <x:c r="V108" s="2" t="str">
        <x:f>IF(A108&lt;DATE(2025,12,1),"",ABS(T108-F108))</x:f>
      </x:c>
      <x:c r="W108" s="2" t="str">
        <x:f>IF(A108&lt;DATE(2025,12,1),"",ABS(U108-F108))</x:f>
      </x:c>
      <x:c r="X108" s="2" t="str">
        <x:f>IF(A108&lt;DATE(2025,12,1),"",T108-F108)</x:f>
      </x:c>
      <x:c r="Y108" s="2" t="str">
        <x:f>IF(A108&lt;DATE(2025,12,1),"",U108-F108)</x:f>
      </x:c>
      <x:c r="Z108" s="2" t="n">
        <x:f>IF(N108&gt;0,1,0)</x:f>
        <x:v>0</x:v>
      </x:c>
    </x:row>
    <x:row r="109" ht="21" customHeight="1">
      <x:c r="A109" s="6" t="n">
        <x:f>'Daily inputs'!A109</x:f>
        <x:v>45979</x:v>
      </x:c>
      <x:c r="B109" s="2" t="str">
        <x:f>'Daily inputs'!B109</x:f>
        <x:v>I06</x:v>
      </x:c>
      <x:c r="C109" s="2" t="n">
        <x:f>'Daily inputs'!C109</x:f>
        <x:v>2</x:v>
      </x:c>
      <x:c r="D109" s="2" t="str">
        <x:f>'Daily inputs'!D109</x:f>
        <x:v>Training</x:v>
      </x:c>
      <x:c r="E109" s="7" t="n">
        <x:f>'Daily inputs'!E109</x:f>
        <x:v>3</x:v>
      </x:c>
      <x:c r="F109" s="2" t="n">
        <x:f>'Daily inputs'!F109</x:f>
        <x:v>28</x:v>
      </x:c>
      <x:c r="G109" s="2" t="n">
        <x:f>'Daily inputs'!G109</x:f>
        <x:v>4</x:v>
      </x:c>
      <x:c r="H109" s="2" t="n">
        <x:f>'Daily inputs'!H109</x:f>
        <x:v>28</x:v>
      </x:c>
      <x:c r="I109" s="2" t="n">
        <x:f>'Daily inputs'!I109</x:f>
        <x:v>0</x:v>
      </x:c>
      <x:c r="J109" s="2" t="n">
        <x:f>'Daily inputs'!J109</x:f>
        <x:v>0</x:v>
      </x:c>
      <x:c r="K109" s="2" t="n">
        <x:f>'Daily inputs'!K109</x:f>
        <x:v>0</x:v>
      </x:c>
      <x:c r="L109" s="2" t="n">
        <x:f>MIN(F109,G109+H109-I109)</x:f>
        <x:v>28</x:v>
      </x:c>
      <x:c r="M109" s="2" t="n">
        <x:f>G109+H109-L109-I109</x:f>
        <x:v>4</x:v>
      </x:c>
      <x:c r="N109" s="2" t="n">
        <x:f>F109-L109</x:f>
        <x:v>0</x:v>
      </x:c>
      <x:c r="O109" s="2" t="n">
        <x:f>N109-J109</x:f>
        <x:v>0</x:v>
      </x:c>
      <x:c r="P109" s="2" t="n">
        <x:f>L109+I109</x:f>
        <x:v>28</x:v>
      </x:c>
      <x:c r="Q109" s="8" t="n">
        <x:f>P109*E109</x:f>
        <x:v>84</x:v>
      </x:c>
      <x:c r="R109" s="8" t="n">
        <x:f>I109*E109</x:f>
        <x:v>0</x:v>
      </x:c>
      <x:c r="S109" s="8" t="n">
        <x:f>O109*E109</x:f>
        <x:v>0</x:v>
      </x:c>
      <x:c r="T109" s="2" t="str">
        <x:f>IF(A109&lt;DATE(2025,12,1),"",IF(D109="Closed",0,ROUND(AVERAGEIFS('Daily inputs'!$F$2:$F$367,'Daily inputs'!$B$2:$B$367,B109,'Daily inputs'!$C$2:$C$367,C109,'Daily inputs'!$D$2:$D$367,"Training"),0)))</x:f>
      </x:c>
      <x:c r="U109" s="2" t="str">
        <x:f>IF(A109&lt;DATE(2025,12,1),"",ROUND(T109*IF(D109="Christmas",Notes!$B$9,Notes!$B$8),0))</x:f>
      </x:c>
      <x:c r="V109" s="2" t="str">
        <x:f>IF(A109&lt;DATE(2025,12,1),"",ABS(T109-F109))</x:f>
      </x:c>
      <x:c r="W109" s="2" t="str">
        <x:f>IF(A109&lt;DATE(2025,12,1),"",ABS(U109-F109))</x:f>
      </x:c>
      <x:c r="X109" s="2" t="str">
        <x:f>IF(A109&lt;DATE(2025,12,1),"",T109-F109)</x:f>
      </x:c>
      <x:c r="Y109" s="2" t="str">
        <x:f>IF(A109&lt;DATE(2025,12,1),"",U109-F109)</x:f>
      </x:c>
      <x:c r="Z109" s="2" t="n">
        <x:f>IF(N109&gt;0,1,0)</x:f>
        <x:v>0</x:v>
      </x:c>
    </x:row>
    <x:row r="110" ht="21" customHeight="1">
      <x:c r="A110" s="6" t="n">
        <x:f>'Daily inputs'!A110</x:f>
        <x:v>45980</x:v>
      </x:c>
      <x:c r="B110" s="2" t="str">
        <x:f>'Daily inputs'!B110</x:f>
        <x:v>I01</x:v>
      </x:c>
      <x:c r="C110" s="2" t="n">
        <x:f>'Daily inputs'!C110</x:f>
        <x:v>3</x:v>
      </x:c>
      <x:c r="D110" s="2" t="str">
        <x:f>'Daily inputs'!D110</x:f>
        <x:v>Training</x:v>
      </x:c>
      <x:c r="E110" s="7" t="n">
        <x:f>'Daily inputs'!E110</x:f>
        <x:v>8.5</x:v>
      </x:c>
      <x:c r="F110" s="2" t="n">
        <x:f>'Daily inputs'!F110</x:f>
        <x:v>64</x:v>
      </x:c>
      <x:c r="G110" s="2" t="n">
        <x:f>'Daily inputs'!G110</x:f>
        <x:v>10</x:v>
      </x:c>
      <x:c r="H110" s="2" t="n">
        <x:f>'Daily inputs'!H110</x:f>
        <x:v>64</x:v>
      </x:c>
      <x:c r="I110" s="2" t="n">
        <x:f>'Daily inputs'!I110</x:f>
        <x:v>0</x:v>
      </x:c>
      <x:c r="J110" s="2" t="n">
        <x:f>'Daily inputs'!J110</x:f>
        <x:v>0</x:v>
      </x:c>
      <x:c r="K110" s="2" t="n">
        <x:f>'Daily inputs'!K110</x:f>
        <x:v>0</x:v>
      </x:c>
      <x:c r="L110" s="2" t="n">
        <x:f>MIN(F110,G110+H110-I110)</x:f>
        <x:v>64</x:v>
      </x:c>
      <x:c r="M110" s="2" t="n">
        <x:f>G110+H110-L110-I110</x:f>
        <x:v>10</x:v>
      </x:c>
      <x:c r="N110" s="2" t="n">
        <x:f>F110-L110</x:f>
        <x:v>0</x:v>
      </x:c>
      <x:c r="O110" s="2" t="n">
        <x:f>N110-J110</x:f>
        <x:v>0</x:v>
      </x:c>
      <x:c r="P110" s="2" t="n">
        <x:f>L110+I110</x:f>
        <x:v>64</x:v>
      </x:c>
      <x:c r="Q110" s="8" t="n">
        <x:f>P110*E110</x:f>
        <x:v>544</x:v>
      </x:c>
      <x:c r="R110" s="8" t="n">
        <x:f>I110*E110</x:f>
        <x:v>0</x:v>
      </x:c>
      <x:c r="S110" s="8" t="n">
        <x:f>O110*E110</x:f>
        <x:v>0</x:v>
      </x:c>
      <x:c r="T110" s="2" t="str">
        <x:f>IF(A110&lt;DATE(2025,12,1),"",IF(D110="Closed",0,ROUND(AVERAGEIFS('Daily inputs'!$F$2:$F$367,'Daily inputs'!$B$2:$B$367,B110,'Daily inputs'!$C$2:$C$367,C110,'Daily inputs'!$D$2:$D$367,"Training"),0)))</x:f>
      </x:c>
      <x:c r="U110" s="2" t="str">
        <x:f>IF(A110&lt;DATE(2025,12,1),"",ROUND(T110*IF(D110="Christmas",Notes!$B$9,Notes!$B$8),0))</x:f>
      </x:c>
      <x:c r="V110" s="2" t="str">
        <x:f>IF(A110&lt;DATE(2025,12,1),"",ABS(T110-F110))</x:f>
      </x:c>
      <x:c r="W110" s="2" t="str">
        <x:f>IF(A110&lt;DATE(2025,12,1),"",ABS(U110-F110))</x:f>
      </x:c>
      <x:c r="X110" s="2" t="str">
        <x:f>IF(A110&lt;DATE(2025,12,1),"",T110-F110)</x:f>
      </x:c>
      <x:c r="Y110" s="2" t="str">
        <x:f>IF(A110&lt;DATE(2025,12,1),"",U110-F110)</x:f>
      </x:c>
      <x:c r="Z110" s="2" t="n">
        <x:f>IF(N110&gt;0,1,0)</x:f>
        <x:v>0</x:v>
      </x:c>
    </x:row>
    <x:row r="111" ht="21" customHeight="1">
      <x:c r="A111" s="6" t="n">
        <x:f>'Daily inputs'!A111</x:f>
        <x:v>45980</x:v>
      </x:c>
      <x:c r="B111" s="2" t="str">
        <x:f>'Daily inputs'!B111</x:f>
        <x:v>I02</x:v>
      </x:c>
      <x:c r="C111" s="2" t="n">
        <x:f>'Daily inputs'!C111</x:f>
        <x:v>3</x:v>
      </x:c>
      <x:c r="D111" s="2" t="str">
        <x:f>'Daily inputs'!D111</x:f>
        <x:v>Training</x:v>
      </x:c>
      <x:c r="E111" s="7" t="n">
        <x:f>'Daily inputs'!E111</x:f>
        <x:v>8</x:v>
      </x:c>
      <x:c r="F111" s="2" t="n">
        <x:f>'Daily inputs'!F111</x:f>
        <x:v>52</x:v>
      </x:c>
      <x:c r="G111" s="2" t="n">
        <x:f>'Daily inputs'!G111</x:f>
        <x:v>8</x:v>
      </x:c>
      <x:c r="H111" s="2" t="n">
        <x:f>'Daily inputs'!H111</x:f>
        <x:v>52</x:v>
      </x:c>
      <x:c r="I111" s="2" t="n">
        <x:f>'Daily inputs'!I111</x:f>
        <x:v>0</x:v>
      </x:c>
      <x:c r="J111" s="2" t="n">
        <x:f>'Daily inputs'!J111</x:f>
        <x:v>0</x:v>
      </x:c>
      <x:c r="K111" s="2" t="n">
        <x:f>'Daily inputs'!K111</x:f>
        <x:v>0</x:v>
      </x:c>
      <x:c r="L111" s="2" t="n">
        <x:f>MIN(F111,G111+H111-I111)</x:f>
        <x:v>52</x:v>
      </x:c>
      <x:c r="M111" s="2" t="n">
        <x:f>G111+H111-L111-I111</x:f>
        <x:v>8</x:v>
      </x:c>
      <x:c r="N111" s="2" t="n">
        <x:f>F111-L111</x:f>
        <x:v>0</x:v>
      </x:c>
      <x:c r="O111" s="2" t="n">
        <x:f>N111-J111</x:f>
        <x:v>0</x:v>
      </x:c>
      <x:c r="P111" s="2" t="n">
        <x:f>L111+I111</x:f>
        <x:v>52</x:v>
      </x:c>
      <x:c r="Q111" s="8" t="n">
        <x:f>P111*E111</x:f>
        <x:v>416</x:v>
      </x:c>
      <x:c r="R111" s="8" t="n">
        <x:f>I111*E111</x:f>
        <x:v>0</x:v>
      </x:c>
      <x:c r="S111" s="8" t="n">
        <x:f>O111*E111</x:f>
        <x:v>0</x:v>
      </x:c>
      <x:c r="T111" s="2" t="str">
        <x:f>IF(A111&lt;DATE(2025,12,1),"",IF(D111="Closed",0,ROUND(AVERAGEIFS('Daily inputs'!$F$2:$F$367,'Daily inputs'!$B$2:$B$367,B111,'Daily inputs'!$C$2:$C$367,C111,'Daily inputs'!$D$2:$D$367,"Training"),0)))</x:f>
      </x:c>
      <x:c r="U111" s="2" t="str">
        <x:f>IF(A111&lt;DATE(2025,12,1),"",ROUND(T111*IF(D111="Christmas",Notes!$B$9,Notes!$B$8),0))</x:f>
      </x:c>
      <x:c r="V111" s="2" t="str">
        <x:f>IF(A111&lt;DATE(2025,12,1),"",ABS(T111-F111))</x:f>
      </x:c>
      <x:c r="W111" s="2" t="str">
        <x:f>IF(A111&lt;DATE(2025,12,1),"",ABS(U111-F111))</x:f>
      </x:c>
      <x:c r="X111" s="2" t="str">
        <x:f>IF(A111&lt;DATE(2025,12,1),"",T111-F111)</x:f>
      </x:c>
      <x:c r="Y111" s="2" t="str">
        <x:f>IF(A111&lt;DATE(2025,12,1),"",U111-F111)</x:f>
      </x:c>
      <x:c r="Z111" s="2" t="n">
        <x:f>IF(N111&gt;0,1,0)</x:f>
        <x:v>0</x:v>
      </x:c>
    </x:row>
    <x:row r="112" ht="21" customHeight="1">
      <x:c r="A112" s="6" t="n">
        <x:f>'Daily inputs'!A112</x:f>
        <x:v>45980</x:v>
      </x:c>
      <x:c r="B112" s="2" t="str">
        <x:f>'Daily inputs'!B112</x:f>
        <x:v>I03</x:v>
      </x:c>
      <x:c r="C112" s="2" t="n">
        <x:f>'Daily inputs'!C112</x:f>
        <x:v>3</x:v>
      </x:c>
      <x:c r="D112" s="2" t="str">
        <x:f>'Daily inputs'!D112</x:f>
        <x:v>Training</x:v>
      </x:c>
      <x:c r="E112" s="7" t="n">
        <x:f>'Daily inputs'!E112</x:f>
        <x:v>7.5</x:v>
      </x:c>
      <x:c r="F112" s="2" t="n">
        <x:f>'Daily inputs'!F112</x:f>
        <x:v>33</x:v>
      </x:c>
      <x:c r="G112" s="2" t="n">
        <x:f>'Daily inputs'!G112</x:f>
        <x:v>5</x:v>
      </x:c>
      <x:c r="H112" s="2" t="n">
        <x:f>'Daily inputs'!H112</x:f>
        <x:v>33</x:v>
      </x:c>
      <x:c r="I112" s="2" t="n">
        <x:f>'Daily inputs'!I112</x:f>
        <x:v>0</x:v>
      </x:c>
      <x:c r="J112" s="2" t="n">
        <x:f>'Daily inputs'!J112</x:f>
        <x:v>0</x:v>
      </x:c>
      <x:c r="K112" s="2" t="n">
        <x:f>'Daily inputs'!K112</x:f>
        <x:v>0</x:v>
      </x:c>
      <x:c r="L112" s="2" t="n">
        <x:f>MIN(F112,G112+H112-I112)</x:f>
        <x:v>33</x:v>
      </x:c>
      <x:c r="M112" s="2" t="n">
        <x:f>G112+H112-L112-I112</x:f>
        <x:v>5</x:v>
      </x:c>
      <x:c r="N112" s="2" t="n">
        <x:f>F112-L112</x:f>
        <x:v>0</x:v>
      </x:c>
      <x:c r="O112" s="2" t="n">
        <x:f>N112-J112</x:f>
        <x:v>0</x:v>
      </x:c>
      <x:c r="P112" s="2" t="n">
        <x:f>L112+I112</x:f>
        <x:v>33</x:v>
      </x:c>
      <x:c r="Q112" s="8" t="n">
        <x:f>P112*E112</x:f>
        <x:v>247.5</x:v>
      </x:c>
      <x:c r="R112" s="8" t="n">
        <x:f>I112*E112</x:f>
        <x:v>0</x:v>
      </x:c>
      <x:c r="S112" s="8" t="n">
        <x:f>O112*E112</x:f>
        <x:v>0</x:v>
      </x:c>
      <x:c r="T112" s="2" t="str">
        <x:f>IF(A112&lt;DATE(2025,12,1),"",IF(D112="Closed",0,ROUND(AVERAGEIFS('Daily inputs'!$F$2:$F$367,'Daily inputs'!$B$2:$B$367,B112,'Daily inputs'!$C$2:$C$367,C112,'Daily inputs'!$D$2:$D$367,"Training"),0)))</x:f>
      </x:c>
      <x:c r="U112" s="2" t="str">
        <x:f>IF(A112&lt;DATE(2025,12,1),"",ROUND(T112*IF(D112="Christmas",Notes!$B$9,Notes!$B$8),0))</x:f>
      </x:c>
      <x:c r="V112" s="2" t="str">
        <x:f>IF(A112&lt;DATE(2025,12,1),"",ABS(T112-F112))</x:f>
      </x:c>
      <x:c r="W112" s="2" t="str">
        <x:f>IF(A112&lt;DATE(2025,12,1),"",ABS(U112-F112))</x:f>
      </x:c>
      <x:c r="X112" s="2" t="str">
        <x:f>IF(A112&lt;DATE(2025,12,1),"",T112-F112)</x:f>
      </x:c>
      <x:c r="Y112" s="2" t="str">
        <x:f>IF(A112&lt;DATE(2025,12,1),"",U112-F112)</x:f>
      </x:c>
      <x:c r="Z112" s="2" t="n">
        <x:f>IF(N112&gt;0,1,0)</x:f>
        <x:v>0</x:v>
      </x:c>
    </x:row>
    <x:row r="113" ht="21" customHeight="1">
      <x:c r="A113" s="6" t="n">
        <x:f>'Daily inputs'!A113</x:f>
        <x:v>45980</x:v>
      </x:c>
      <x:c r="B113" s="2" t="str">
        <x:f>'Daily inputs'!B113</x:f>
        <x:v>I04</x:v>
      </x:c>
      <x:c r="C113" s="2" t="n">
        <x:f>'Daily inputs'!C113</x:f>
        <x:v>3</x:v>
      </x:c>
      <x:c r="D113" s="2" t="str">
        <x:f>'Daily inputs'!D113</x:f>
        <x:v>Training</x:v>
      </x:c>
      <x:c r="E113" s="7" t="n">
        <x:f>'Daily inputs'!E113</x:f>
        <x:v>9</x:v>
      </x:c>
      <x:c r="F113" s="2" t="n">
        <x:f>'Daily inputs'!F113</x:f>
        <x:v>35</x:v>
      </x:c>
      <x:c r="G113" s="2" t="n">
        <x:f>'Daily inputs'!G113</x:f>
        <x:v>6</x:v>
      </x:c>
      <x:c r="H113" s="2" t="n">
        <x:f>'Daily inputs'!H113</x:f>
        <x:v>34</x:v>
      </x:c>
      <x:c r="I113" s="2" t="n">
        <x:f>'Daily inputs'!I113</x:f>
        <x:v>0</x:v>
      </x:c>
      <x:c r="J113" s="2" t="n">
        <x:f>'Daily inputs'!J113</x:f>
        <x:v>0</x:v>
      </x:c>
      <x:c r="K113" s="2" t="n">
        <x:f>'Daily inputs'!K113</x:f>
        <x:v>0</x:v>
      </x:c>
      <x:c r="L113" s="2" t="n">
        <x:f>MIN(F113,G113+H113-I113)</x:f>
        <x:v>35</x:v>
      </x:c>
      <x:c r="M113" s="2" t="n">
        <x:f>G113+H113-L113-I113</x:f>
        <x:v>5</x:v>
      </x:c>
      <x:c r="N113" s="2" t="n">
        <x:f>F113-L113</x:f>
        <x:v>0</x:v>
      </x:c>
      <x:c r="O113" s="2" t="n">
        <x:f>N113-J113</x:f>
        <x:v>0</x:v>
      </x:c>
      <x:c r="P113" s="2" t="n">
        <x:f>L113+I113</x:f>
        <x:v>35</x:v>
      </x:c>
      <x:c r="Q113" s="8" t="n">
        <x:f>P113*E113</x:f>
        <x:v>315</x:v>
      </x:c>
      <x:c r="R113" s="8" t="n">
        <x:f>I113*E113</x:f>
        <x:v>0</x:v>
      </x:c>
      <x:c r="S113" s="8" t="n">
        <x:f>O113*E113</x:f>
        <x:v>0</x:v>
      </x:c>
      <x:c r="T113" s="2" t="str">
        <x:f>IF(A113&lt;DATE(2025,12,1),"",IF(D113="Closed",0,ROUND(AVERAGEIFS('Daily inputs'!$F$2:$F$367,'Daily inputs'!$B$2:$B$367,B113,'Daily inputs'!$C$2:$C$367,C113,'Daily inputs'!$D$2:$D$367,"Training"),0)))</x:f>
      </x:c>
      <x:c r="U113" s="2" t="str">
        <x:f>IF(A113&lt;DATE(2025,12,1),"",ROUND(T113*IF(D113="Christmas",Notes!$B$9,Notes!$B$8),0))</x:f>
      </x:c>
      <x:c r="V113" s="2" t="str">
        <x:f>IF(A113&lt;DATE(2025,12,1),"",ABS(T113-F113))</x:f>
      </x:c>
      <x:c r="W113" s="2" t="str">
        <x:f>IF(A113&lt;DATE(2025,12,1),"",ABS(U113-F113))</x:f>
      </x:c>
      <x:c r="X113" s="2" t="str">
        <x:f>IF(A113&lt;DATE(2025,12,1),"",T113-F113)</x:f>
      </x:c>
      <x:c r="Y113" s="2" t="str">
        <x:f>IF(A113&lt;DATE(2025,12,1),"",U113-F113)</x:f>
      </x:c>
      <x:c r="Z113" s="2" t="n">
        <x:f>IF(N113&gt;0,1,0)</x:f>
        <x:v>0</x:v>
      </x:c>
    </x:row>
    <x:row r="114" ht="21" customHeight="1">
      <x:c r="A114" s="6" t="n">
        <x:f>'Daily inputs'!A114</x:f>
        <x:v>45980</x:v>
      </x:c>
      <x:c r="B114" s="2" t="str">
        <x:f>'Daily inputs'!B114</x:f>
        <x:v>I05</x:v>
      </x:c>
      <x:c r="C114" s="2" t="n">
        <x:f>'Daily inputs'!C114</x:f>
        <x:v>3</x:v>
      </x:c>
      <x:c r="D114" s="2" t="str">
        <x:f>'Daily inputs'!D114</x:f>
        <x:v>Training</x:v>
      </x:c>
      <x:c r="E114" s="7" t="n">
        <x:f>'Daily inputs'!E114</x:f>
        <x:v>3.5</x:v>
      </x:c>
      <x:c r="F114" s="2" t="n">
        <x:f>'Daily inputs'!F114</x:f>
        <x:v>80</x:v>
      </x:c>
      <x:c r="G114" s="2" t="n">
        <x:f>'Daily inputs'!G114</x:f>
        <x:v>11</x:v>
      </x:c>
      <x:c r="H114" s="2" t="n">
        <x:f>'Daily inputs'!H114</x:f>
        <x:v>81</x:v>
      </x:c>
      <x:c r="I114" s="2" t="n">
        <x:f>'Daily inputs'!I114</x:f>
        <x:v>0</x:v>
      </x:c>
      <x:c r="J114" s="2" t="n">
        <x:f>'Daily inputs'!J114</x:f>
        <x:v>0</x:v>
      </x:c>
      <x:c r="K114" s="2" t="n">
        <x:f>'Daily inputs'!K114</x:f>
        <x:v>0</x:v>
      </x:c>
      <x:c r="L114" s="2" t="n">
        <x:f>MIN(F114,G114+H114-I114)</x:f>
        <x:v>80</x:v>
      </x:c>
      <x:c r="M114" s="2" t="n">
        <x:f>G114+H114-L114-I114</x:f>
        <x:v>12</x:v>
      </x:c>
      <x:c r="N114" s="2" t="n">
        <x:f>F114-L114</x:f>
        <x:v>0</x:v>
      </x:c>
      <x:c r="O114" s="2" t="n">
        <x:f>N114-J114</x:f>
        <x:v>0</x:v>
      </x:c>
      <x:c r="P114" s="2" t="n">
        <x:f>L114+I114</x:f>
        <x:v>80</x:v>
      </x:c>
      <x:c r="Q114" s="8" t="n">
        <x:f>P114*E114</x:f>
        <x:v>280</x:v>
      </x:c>
      <x:c r="R114" s="8" t="n">
        <x:f>I114*E114</x:f>
        <x:v>0</x:v>
      </x:c>
      <x:c r="S114" s="8" t="n">
        <x:f>O114*E114</x:f>
        <x:v>0</x:v>
      </x:c>
      <x:c r="T114" s="2" t="str">
        <x:f>IF(A114&lt;DATE(2025,12,1),"",IF(D114="Closed",0,ROUND(AVERAGEIFS('Daily inputs'!$F$2:$F$367,'Daily inputs'!$B$2:$B$367,B114,'Daily inputs'!$C$2:$C$367,C114,'Daily inputs'!$D$2:$D$367,"Training"),0)))</x:f>
      </x:c>
      <x:c r="U114" s="2" t="str">
        <x:f>IF(A114&lt;DATE(2025,12,1),"",ROUND(T114*IF(D114="Christmas",Notes!$B$9,Notes!$B$8),0))</x:f>
      </x:c>
      <x:c r="V114" s="2" t="str">
        <x:f>IF(A114&lt;DATE(2025,12,1),"",ABS(T114-F114))</x:f>
      </x:c>
      <x:c r="W114" s="2" t="str">
        <x:f>IF(A114&lt;DATE(2025,12,1),"",ABS(U114-F114))</x:f>
      </x:c>
      <x:c r="X114" s="2" t="str">
        <x:f>IF(A114&lt;DATE(2025,12,1),"",T114-F114)</x:f>
      </x:c>
      <x:c r="Y114" s="2" t="str">
        <x:f>IF(A114&lt;DATE(2025,12,1),"",U114-F114)</x:f>
      </x:c>
      <x:c r="Z114" s="2" t="n">
        <x:f>IF(N114&gt;0,1,0)</x:f>
        <x:v>0</x:v>
      </x:c>
    </x:row>
    <x:row r="115" ht="21" customHeight="1">
      <x:c r="A115" s="6" t="n">
        <x:f>'Daily inputs'!A115</x:f>
        <x:v>45980</x:v>
      </x:c>
      <x:c r="B115" s="2" t="str">
        <x:f>'Daily inputs'!B115</x:f>
        <x:v>I06</x:v>
      </x:c>
      <x:c r="C115" s="2" t="n">
        <x:f>'Daily inputs'!C115</x:f>
        <x:v>3</x:v>
      </x:c>
      <x:c r="D115" s="2" t="str">
        <x:f>'Daily inputs'!D115</x:f>
        <x:v>Training</x:v>
      </x:c>
      <x:c r="E115" s="7" t="n">
        <x:f>'Daily inputs'!E115</x:f>
        <x:v>3</x:v>
      </x:c>
      <x:c r="F115" s="2" t="n">
        <x:f>'Daily inputs'!F115</x:f>
        <x:v>28</x:v>
      </x:c>
      <x:c r="G115" s="2" t="n">
        <x:f>'Daily inputs'!G115</x:f>
        <x:v>4</x:v>
      </x:c>
      <x:c r="H115" s="2" t="n">
        <x:f>'Daily inputs'!H115</x:f>
        <x:v>28</x:v>
      </x:c>
      <x:c r="I115" s="2" t="n">
        <x:f>'Daily inputs'!I115</x:f>
        <x:v>0</x:v>
      </x:c>
      <x:c r="J115" s="2" t="n">
        <x:f>'Daily inputs'!J115</x:f>
        <x:v>0</x:v>
      </x:c>
      <x:c r="K115" s="2" t="n">
        <x:f>'Daily inputs'!K115</x:f>
        <x:v>0</x:v>
      </x:c>
      <x:c r="L115" s="2" t="n">
        <x:f>MIN(F115,G115+H115-I115)</x:f>
        <x:v>28</x:v>
      </x:c>
      <x:c r="M115" s="2" t="n">
        <x:f>G115+H115-L115-I115</x:f>
        <x:v>4</x:v>
      </x:c>
      <x:c r="N115" s="2" t="n">
        <x:f>F115-L115</x:f>
        <x:v>0</x:v>
      </x:c>
      <x:c r="O115" s="2" t="n">
        <x:f>N115-J115</x:f>
        <x:v>0</x:v>
      </x:c>
      <x:c r="P115" s="2" t="n">
        <x:f>L115+I115</x:f>
        <x:v>28</x:v>
      </x:c>
      <x:c r="Q115" s="8" t="n">
        <x:f>P115*E115</x:f>
        <x:v>84</x:v>
      </x:c>
      <x:c r="R115" s="8" t="n">
        <x:f>I115*E115</x:f>
        <x:v>0</x:v>
      </x:c>
      <x:c r="S115" s="8" t="n">
        <x:f>O115*E115</x:f>
        <x:v>0</x:v>
      </x:c>
      <x:c r="T115" s="2" t="str">
        <x:f>IF(A115&lt;DATE(2025,12,1),"",IF(D115="Closed",0,ROUND(AVERAGEIFS('Daily inputs'!$F$2:$F$367,'Daily inputs'!$B$2:$B$367,B115,'Daily inputs'!$C$2:$C$367,C115,'Daily inputs'!$D$2:$D$367,"Training"),0)))</x:f>
      </x:c>
      <x:c r="U115" s="2" t="str">
        <x:f>IF(A115&lt;DATE(2025,12,1),"",ROUND(T115*IF(D115="Christmas",Notes!$B$9,Notes!$B$8),0))</x:f>
      </x:c>
      <x:c r="V115" s="2" t="str">
        <x:f>IF(A115&lt;DATE(2025,12,1),"",ABS(T115-F115))</x:f>
      </x:c>
      <x:c r="W115" s="2" t="str">
        <x:f>IF(A115&lt;DATE(2025,12,1),"",ABS(U115-F115))</x:f>
      </x:c>
      <x:c r="X115" s="2" t="str">
        <x:f>IF(A115&lt;DATE(2025,12,1),"",T115-F115)</x:f>
      </x:c>
      <x:c r="Y115" s="2" t="str">
        <x:f>IF(A115&lt;DATE(2025,12,1),"",U115-F115)</x:f>
      </x:c>
      <x:c r="Z115" s="2" t="n">
        <x:f>IF(N115&gt;0,1,0)</x:f>
        <x:v>0</x:v>
      </x:c>
    </x:row>
    <x:row r="116" ht="21" customHeight="1">
      <x:c r="A116" s="6" t="n">
        <x:f>'Daily inputs'!A116</x:f>
        <x:v>45981</x:v>
      </x:c>
      <x:c r="B116" s="2" t="str">
        <x:f>'Daily inputs'!B116</x:f>
        <x:v>I01</x:v>
      </x:c>
      <x:c r="C116" s="2" t="n">
        <x:f>'Daily inputs'!C116</x:f>
        <x:v>4</x:v>
      </x:c>
      <x:c r="D116" s="2" t="str">
        <x:f>'Daily inputs'!D116</x:f>
        <x:v>Training</x:v>
      </x:c>
      <x:c r="E116" s="7" t="n">
        <x:f>'Daily inputs'!E116</x:f>
        <x:v>8.5</x:v>
      </x:c>
      <x:c r="F116" s="2" t="n">
        <x:f>'Daily inputs'!F116</x:f>
        <x:v>74</x:v>
      </x:c>
      <x:c r="G116" s="2" t="n">
        <x:f>'Daily inputs'!G116</x:f>
        <x:v>10</x:v>
      </x:c>
      <x:c r="H116" s="2" t="n">
        <x:f>'Daily inputs'!H116</x:f>
        <x:v>75</x:v>
      </x:c>
      <x:c r="I116" s="2" t="n">
        <x:f>'Daily inputs'!I116</x:f>
        <x:v>0</x:v>
      </x:c>
      <x:c r="J116" s="2" t="n">
        <x:f>'Daily inputs'!J116</x:f>
        <x:v>0</x:v>
      </x:c>
      <x:c r="K116" s="2" t="n">
        <x:f>'Daily inputs'!K116</x:f>
        <x:v>0</x:v>
      </x:c>
      <x:c r="L116" s="2" t="n">
        <x:f>MIN(F116,G116+H116-I116)</x:f>
        <x:v>74</x:v>
      </x:c>
      <x:c r="M116" s="2" t="n">
        <x:f>G116+H116-L116-I116</x:f>
        <x:v>11</x:v>
      </x:c>
      <x:c r="N116" s="2" t="n">
        <x:f>F116-L116</x:f>
        <x:v>0</x:v>
      </x:c>
      <x:c r="O116" s="2" t="n">
        <x:f>N116-J116</x:f>
        <x:v>0</x:v>
      </x:c>
      <x:c r="P116" s="2" t="n">
        <x:f>L116+I116</x:f>
        <x:v>74</x:v>
      </x:c>
      <x:c r="Q116" s="8" t="n">
        <x:f>P116*E116</x:f>
        <x:v>629</x:v>
      </x:c>
      <x:c r="R116" s="8" t="n">
        <x:f>I116*E116</x:f>
        <x:v>0</x:v>
      </x:c>
      <x:c r="S116" s="8" t="n">
        <x:f>O116*E116</x:f>
        <x:v>0</x:v>
      </x:c>
      <x:c r="T116" s="2" t="str">
        <x:f>IF(A116&lt;DATE(2025,12,1),"",IF(D116="Closed",0,ROUND(AVERAGEIFS('Daily inputs'!$F$2:$F$367,'Daily inputs'!$B$2:$B$367,B116,'Daily inputs'!$C$2:$C$367,C116,'Daily inputs'!$D$2:$D$367,"Training"),0)))</x:f>
      </x:c>
      <x:c r="U116" s="2" t="str">
        <x:f>IF(A116&lt;DATE(2025,12,1),"",ROUND(T116*IF(D116="Christmas",Notes!$B$9,Notes!$B$8),0))</x:f>
      </x:c>
      <x:c r="V116" s="2" t="str">
        <x:f>IF(A116&lt;DATE(2025,12,1),"",ABS(T116-F116))</x:f>
      </x:c>
      <x:c r="W116" s="2" t="str">
        <x:f>IF(A116&lt;DATE(2025,12,1),"",ABS(U116-F116))</x:f>
      </x:c>
      <x:c r="X116" s="2" t="str">
        <x:f>IF(A116&lt;DATE(2025,12,1),"",T116-F116)</x:f>
      </x:c>
      <x:c r="Y116" s="2" t="str">
        <x:f>IF(A116&lt;DATE(2025,12,1),"",U116-F116)</x:f>
      </x:c>
      <x:c r="Z116" s="2" t="n">
        <x:f>IF(N116&gt;0,1,0)</x:f>
        <x:v>0</x:v>
      </x:c>
    </x:row>
    <x:row r="117" ht="21" customHeight="1">
      <x:c r="A117" s="6" t="n">
        <x:f>'Daily inputs'!A117</x:f>
        <x:v>45981</x:v>
      </x:c>
      <x:c r="B117" s="2" t="str">
        <x:f>'Daily inputs'!B117</x:f>
        <x:v>I02</x:v>
      </x:c>
      <x:c r="C117" s="2" t="n">
        <x:f>'Daily inputs'!C117</x:f>
        <x:v>4</x:v>
      </x:c>
      <x:c r="D117" s="2" t="str">
        <x:f>'Daily inputs'!D117</x:f>
        <x:v>Training</x:v>
      </x:c>
      <x:c r="E117" s="7" t="n">
        <x:f>'Daily inputs'!E117</x:f>
        <x:v>8</x:v>
      </x:c>
      <x:c r="F117" s="2" t="n">
        <x:f>'Daily inputs'!F117</x:f>
        <x:v>59</x:v>
      </x:c>
      <x:c r="G117" s="2" t="n">
        <x:f>'Daily inputs'!G117</x:f>
        <x:v>8</x:v>
      </x:c>
      <x:c r="H117" s="2" t="n">
        <x:f>'Daily inputs'!H117</x:f>
        <x:v>60</x:v>
      </x:c>
      <x:c r="I117" s="2" t="n">
        <x:f>'Daily inputs'!I117</x:f>
        <x:v>0</x:v>
      </x:c>
      <x:c r="J117" s="2" t="n">
        <x:f>'Daily inputs'!J117</x:f>
        <x:v>0</x:v>
      </x:c>
      <x:c r="K117" s="2" t="n">
        <x:f>'Daily inputs'!K117</x:f>
        <x:v>0</x:v>
      </x:c>
      <x:c r="L117" s="2" t="n">
        <x:f>MIN(F117,G117+H117-I117)</x:f>
        <x:v>59</x:v>
      </x:c>
      <x:c r="M117" s="2" t="n">
        <x:f>G117+H117-L117-I117</x:f>
        <x:v>9</x:v>
      </x:c>
      <x:c r="N117" s="2" t="n">
        <x:f>F117-L117</x:f>
        <x:v>0</x:v>
      </x:c>
      <x:c r="O117" s="2" t="n">
        <x:f>N117-J117</x:f>
        <x:v>0</x:v>
      </x:c>
      <x:c r="P117" s="2" t="n">
        <x:f>L117+I117</x:f>
        <x:v>59</x:v>
      </x:c>
      <x:c r="Q117" s="8" t="n">
        <x:f>P117*E117</x:f>
        <x:v>472</x:v>
      </x:c>
      <x:c r="R117" s="8" t="n">
        <x:f>I117*E117</x:f>
        <x:v>0</x:v>
      </x:c>
      <x:c r="S117" s="8" t="n">
        <x:f>O117*E117</x:f>
        <x:v>0</x:v>
      </x:c>
      <x:c r="T117" s="2" t="str">
        <x:f>IF(A117&lt;DATE(2025,12,1),"",IF(D117="Closed",0,ROUND(AVERAGEIFS('Daily inputs'!$F$2:$F$367,'Daily inputs'!$B$2:$B$367,B117,'Daily inputs'!$C$2:$C$367,C117,'Daily inputs'!$D$2:$D$367,"Training"),0)))</x:f>
      </x:c>
      <x:c r="U117" s="2" t="str">
        <x:f>IF(A117&lt;DATE(2025,12,1),"",ROUND(T117*IF(D117="Christmas",Notes!$B$9,Notes!$B$8),0))</x:f>
      </x:c>
      <x:c r="V117" s="2" t="str">
        <x:f>IF(A117&lt;DATE(2025,12,1),"",ABS(T117-F117))</x:f>
      </x:c>
      <x:c r="W117" s="2" t="str">
        <x:f>IF(A117&lt;DATE(2025,12,1),"",ABS(U117-F117))</x:f>
      </x:c>
      <x:c r="X117" s="2" t="str">
        <x:f>IF(A117&lt;DATE(2025,12,1),"",T117-F117)</x:f>
      </x:c>
      <x:c r="Y117" s="2" t="str">
        <x:f>IF(A117&lt;DATE(2025,12,1),"",U117-F117)</x:f>
      </x:c>
      <x:c r="Z117" s="2" t="n">
        <x:f>IF(N117&gt;0,1,0)</x:f>
        <x:v>0</x:v>
      </x:c>
    </x:row>
    <x:row r="118" ht="21" customHeight="1">
      <x:c r="A118" s="6" t="n">
        <x:f>'Daily inputs'!A118</x:f>
        <x:v>45981</x:v>
      </x:c>
      <x:c r="B118" s="2" t="str">
        <x:f>'Daily inputs'!B118</x:f>
        <x:v>I03</x:v>
      </x:c>
      <x:c r="C118" s="2" t="n">
        <x:f>'Daily inputs'!C118</x:f>
        <x:v>4</x:v>
      </x:c>
      <x:c r="D118" s="2" t="str">
        <x:f>'Daily inputs'!D118</x:f>
        <x:v>Training</x:v>
      </x:c>
      <x:c r="E118" s="7" t="n">
        <x:f>'Daily inputs'!E118</x:f>
        <x:v>7.5</x:v>
      </x:c>
      <x:c r="F118" s="2" t="n">
        <x:f>'Daily inputs'!F118</x:f>
        <x:v>33</x:v>
      </x:c>
      <x:c r="G118" s="2" t="n">
        <x:f>'Daily inputs'!G118</x:f>
        <x:v>5</x:v>
      </x:c>
      <x:c r="H118" s="2" t="n">
        <x:f>'Daily inputs'!H118</x:f>
        <x:v>33</x:v>
      </x:c>
      <x:c r="I118" s="2" t="n">
        <x:f>'Daily inputs'!I118</x:f>
        <x:v>0</x:v>
      </x:c>
      <x:c r="J118" s="2" t="n">
        <x:f>'Daily inputs'!J118</x:f>
        <x:v>0</x:v>
      </x:c>
      <x:c r="K118" s="2" t="n">
        <x:f>'Daily inputs'!K118</x:f>
        <x:v>0</x:v>
      </x:c>
      <x:c r="L118" s="2" t="n">
        <x:f>MIN(F118,G118+H118-I118)</x:f>
        <x:v>33</x:v>
      </x:c>
      <x:c r="M118" s="2" t="n">
        <x:f>G118+H118-L118-I118</x:f>
        <x:v>5</x:v>
      </x:c>
      <x:c r="N118" s="2" t="n">
        <x:f>F118-L118</x:f>
        <x:v>0</x:v>
      </x:c>
      <x:c r="O118" s="2" t="n">
        <x:f>N118-J118</x:f>
        <x:v>0</x:v>
      </x:c>
      <x:c r="P118" s="2" t="n">
        <x:f>L118+I118</x:f>
        <x:v>33</x:v>
      </x:c>
      <x:c r="Q118" s="8" t="n">
        <x:f>P118*E118</x:f>
        <x:v>247.5</x:v>
      </x:c>
      <x:c r="R118" s="8" t="n">
        <x:f>I118*E118</x:f>
        <x:v>0</x:v>
      </x:c>
      <x:c r="S118" s="8" t="n">
        <x:f>O118*E118</x:f>
        <x:v>0</x:v>
      </x:c>
      <x:c r="T118" s="2" t="str">
        <x:f>IF(A118&lt;DATE(2025,12,1),"",IF(D118="Closed",0,ROUND(AVERAGEIFS('Daily inputs'!$F$2:$F$367,'Daily inputs'!$B$2:$B$367,B118,'Daily inputs'!$C$2:$C$367,C118,'Daily inputs'!$D$2:$D$367,"Training"),0)))</x:f>
      </x:c>
      <x:c r="U118" s="2" t="str">
        <x:f>IF(A118&lt;DATE(2025,12,1),"",ROUND(T118*IF(D118="Christmas",Notes!$B$9,Notes!$B$8),0))</x:f>
      </x:c>
      <x:c r="V118" s="2" t="str">
        <x:f>IF(A118&lt;DATE(2025,12,1),"",ABS(T118-F118))</x:f>
      </x:c>
      <x:c r="W118" s="2" t="str">
        <x:f>IF(A118&lt;DATE(2025,12,1),"",ABS(U118-F118))</x:f>
      </x:c>
      <x:c r="X118" s="2" t="str">
        <x:f>IF(A118&lt;DATE(2025,12,1),"",T118-F118)</x:f>
      </x:c>
      <x:c r="Y118" s="2" t="str">
        <x:f>IF(A118&lt;DATE(2025,12,1),"",U118-F118)</x:f>
      </x:c>
      <x:c r="Z118" s="2" t="n">
        <x:f>IF(N118&gt;0,1,0)</x:f>
        <x:v>0</x:v>
      </x:c>
    </x:row>
    <x:row r="119" ht="21" customHeight="1">
      <x:c r="A119" s="6" t="n">
        <x:f>'Daily inputs'!A119</x:f>
        <x:v>45981</x:v>
      </x:c>
      <x:c r="B119" s="2" t="str">
        <x:f>'Daily inputs'!B119</x:f>
        <x:v>I04</x:v>
      </x:c>
      <x:c r="C119" s="2" t="n">
        <x:f>'Daily inputs'!C119</x:f>
        <x:v>4</x:v>
      </x:c>
      <x:c r="D119" s="2" t="str">
        <x:f>'Daily inputs'!D119</x:f>
        <x:v>Training</x:v>
      </x:c>
      <x:c r="E119" s="7" t="n">
        <x:f>'Daily inputs'!E119</x:f>
        <x:v>9</x:v>
      </x:c>
      <x:c r="F119" s="2" t="n">
        <x:f>'Daily inputs'!F119</x:f>
        <x:v>40</x:v>
      </x:c>
      <x:c r="G119" s="2" t="n">
        <x:f>'Daily inputs'!G119</x:f>
        <x:v>5</x:v>
      </x:c>
      <x:c r="H119" s="2" t="n">
        <x:f>'Daily inputs'!H119</x:f>
        <x:v>41</x:v>
      </x:c>
      <x:c r="I119" s="2" t="n">
        <x:f>'Daily inputs'!I119</x:f>
        <x:v>0</x:v>
      </x:c>
      <x:c r="J119" s="2" t="n">
        <x:f>'Daily inputs'!J119</x:f>
        <x:v>0</x:v>
      </x:c>
      <x:c r="K119" s="2" t="n">
        <x:f>'Daily inputs'!K119</x:f>
        <x:v>0</x:v>
      </x:c>
      <x:c r="L119" s="2" t="n">
        <x:f>MIN(F119,G119+H119-I119)</x:f>
        <x:v>40</x:v>
      </x:c>
      <x:c r="M119" s="2" t="n">
        <x:f>G119+H119-L119-I119</x:f>
        <x:v>6</x:v>
      </x:c>
      <x:c r="N119" s="2" t="n">
        <x:f>F119-L119</x:f>
        <x:v>0</x:v>
      </x:c>
      <x:c r="O119" s="2" t="n">
        <x:f>N119-J119</x:f>
        <x:v>0</x:v>
      </x:c>
      <x:c r="P119" s="2" t="n">
        <x:f>L119+I119</x:f>
        <x:v>40</x:v>
      </x:c>
      <x:c r="Q119" s="8" t="n">
        <x:f>P119*E119</x:f>
        <x:v>360</x:v>
      </x:c>
      <x:c r="R119" s="8" t="n">
        <x:f>I119*E119</x:f>
        <x:v>0</x:v>
      </x:c>
      <x:c r="S119" s="8" t="n">
        <x:f>O119*E119</x:f>
        <x:v>0</x:v>
      </x:c>
      <x:c r="T119" s="2" t="str">
        <x:f>IF(A119&lt;DATE(2025,12,1),"",IF(D119="Closed",0,ROUND(AVERAGEIFS('Daily inputs'!$F$2:$F$367,'Daily inputs'!$B$2:$B$367,B119,'Daily inputs'!$C$2:$C$367,C119,'Daily inputs'!$D$2:$D$367,"Training"),0)))</x:f>
      </x:c>
      <x:c r="U119" s="2" t="str">
        <x:f>IF(A119&lt;DATE(2025,12,1),"",ROUND(T119*IF(D119="Christmas",Notes!$B$9,Notes!$B$8),0))</x:f>
      </x:c>
      <x:c r="V119" s="2" t="str">
        <x:f>IF(A119&lt;DATE(2025,12,1),"",ABS(T119-F119))</x:f>
      </x:c>
      <x:c r="W119" s="2" t="str">
        <x:f>IF(A119&lt;DATE(2025,12,1),"",ABS(U119-F119))</x:f>
      </x:c>
      <x:c r="X119" s="2" t="str">
        <x:f>IF(A119&lt;DATE(2025,12,1),"",T119-F119)</x:f>
      </x:c>
      <x:c r="Y119" s="2" t="str">
        <x:f>IF(A119&lt;DATE(2025,12,1),"",U119-F119)</x:f>
      </x:c>
      <x:c r="Z119" s="2" t="n">
        <x:f>IF(N119&gt;0,1,0)</x:f>
        <x:v>0</x:v>
      </x:c>
    </x:row>
    <x:row r="120" ht="21" customHeight="1">
      <x:c r="A120" s="6" t="n">
        <x:f>'Daily inputs'!A120</x:f>
        <x:v>45981</x:v>
      </x:c>
      <x:c r="B120" s="2" t="str">
        <x:f>'Daily inputs'!B120</x:f>
        <x:v>I05</x:v>
      </x:c>
      <x:c r="C120" s="2" t="n">
        <x:f>'Daily inputs'!C120</x:f>
        <x:v>4</x:v>
      </x:c>
      <x:c r="D120" s="2" t="str">
        <x:f>'Daily inputs'!D120</x:f>
        <x:v>Training</x:v>
      </x:c>
      <x:c r="E120" s="7" t="n">
        <x:f>'Daily inputs'!E120</x:f>
        <x:v>3.5</x:v>
      </x:c>
      <x:c r="F120" s="2" t="n">
        <x:f>'Daily inputs'!F120</x:f>
        <x:v>79</x:v>
      </x:c>
      <x:c r="G120" s="2" t="n">
        <x:f>'Daily inputs'!G120</x:f>
        <x:v>12</x:v>
      </x:c>
      <x:c r="H120" s="2" t="n">
        <x:f>'Daily inputs'!H120</x:f>
        <x:v>79</x:v>
      </x:c>
      <x:c r="I120" s="2" t="n">
        <x:f>'Daily inputs'!I120</x:f>
        <x:v>0</x:v>
      </x:c>
      <x:c r="J120" s="2" t="n">
        <x:f>'Daily inputs'!J120</x:f>
        <x:v>0</x:v>
      </x:c>
      <x:c r="K120" s="2" t="n">
        <x:f>'Daily inputs'!K120</x:f>
        <x:v>0</x:v>
      </x:c>
      <x:c r="L120" s="2" t="n">
        <x:f>MIN(F120,G120+H120-I120)</x:f>
        <x:v>79</x:v>
      </x:c>
      <x:c r="M120" s="2" t="n">
        <x:f>G120+H120-L120-I120</x:f>
        <x:v>12</x:v>
      </x:c>
      <x:c r="N120" s="2" t="n">
        <x:f>F120-L120</x:f>
        <x:v>0</x:v>
      </x:c>
      <x:c r="O120" s="2" t="n">
        <x:f>N120-J120</x:f>
        <x:v>0</x:v>
      </x:c>
      <x:c r="P120" s="2" t="n">
        <x:f>L120+I120</x:f>
        <x:v>79</x:v>
      </x:c>
      <x:c r="Q120" s="8" t="n">
        <x:f>P120*E120</x:f>
        <x:v>276.5</x:v>
      </x:c>
      <x:c r="R120" s="8" t="n">
        <x:f>I120*E120</x:f>
        <x:v>0</x:v>
      </x:c>
      <x:c r="S120" s="8" t="n">
        <x:f>O120*E120</x:f>
        <x:v>0</x:v>
      </x:c>
      <x:c r="T120" s="2" t="str">
        <x:f>IF(A120&lt;DATE(2025,12,1),"",IF(D120="Closed",0,ROUND(AVERAGEIFS('Daily inputs'!$F$2:$F$367,'Daily inputs'!$B$2:$B$367,B120,'Daily inputs'!$C$2:$C$367,C120,'Daily inputs'!$D$2:$D$367,"Training"),0)))</x:f>
      </x:c>
      <x:c r="U120" s="2" t="str">
        <x:f>IF(A120&lt;DATE(2025,12,1),"",ROUND(T120*IF(D120="Christmas",Notes!$B$9,Notes!$B$8),0))</x:f>
      </x:c>
      <x:c r="V120" s="2" t="str">
        <x:f>IF(A120&lt;DATE(2025,12,1),"",ABS(T120-F120))</x:f>
      </x:c>
      <x:c r="W120" s="2" t="str">
        <x:f>IF(A120&lt;DATE(2025,12,1),"",ABS(U120-F120))</x:f>
      </x:c>
      <x:c r="X120" s="2" t="str">
        <x:f>IF(A120&lt;DATE(2025,12,1),"",T120-F120)</x:f>
      </x:c>
      <x:c r="Y120" s="2" t="str">
        <x:f>IF(A120&lt;DATE(2025,12,1),"",U120-F120)</x:f>
      </x:c>
      <x:c r="Z120" s="2" t="n">
        <x:f>IF(N120&gt;0,1,0)</x:f>
        <x:v>0</x:v>
      </x:c>
    </x:row>
    <x:row r="121" ht="21" customHeight="1">
      <x:c r="A121" s="6" t="n">
        <x:f>'Daily inputs'!A121</x:f>
        <x:v>45981</x:v>
      </x:c>
      <x:c r="B121" s="2" t="str">
        <x:f>'Daily inputs'!B121</x:f>
        <x:v>I06</x:v>
      </x:c>
      <x:c r="C121" s="2" t="n">
        <x:f>'Daily inputs'!C121</x:f>
        <x:v>4</x:v>
      </x:c>
      <x:c r="D121" s="2" t="str">
        <x:f>'Daily inputs'!D121</x:f>
        <x:v>Training</x:v>
      </x:c>
      <x:c r="E121" s="7" t="n">
        <x:f>'Daily inputs'!E121</x:f>
        <x:v>3</x:v>
      </x:c>
      <x:c r="F121" s="2" t="n">
        <x:f>'Daily inputs'!F121</x:f>
        <x:v>30</x:v>
      </x:c>
      <x:c r="G121" s="2" t="n">
        <x:f>'Daily inputs'!G121</x:f>
        <x:v>4</x:v>
      </x:c>
      <x:c r="H121" s="2" t="n">
        <x:f>'Daily inputs'!H121</x:f>
        <x:v>31</x:v>
      </x:c>
      <x:c r="I121" s="2" t="n">
        <x:f>'Daily inputs'!I121</x:f>
        <x:v>0</x:v>
      </x:c>
      <x:c r="J121" s="2" t="n">
        <x:f>'Daily inputs'!J121</x:f>
        <x:v>0</x:v>
      </x:c>
      <x:c r="K121" s="2" t="n">
        <x:f>'Daily inputs'!K121</x:f>
        <x:v>0</x:v>
      </x:c>
      <x:c r="L121" s="2" t="n">
        <x:f>MIN(F121,G121+H121-I121)</x:f>
        <x:v>30</x:v>
      </x:c>
      <x:c r="M121" s="2" t="n">
        <x:f>G121+H121-L121-I121</x:f>
        <x:v>5</x:v>
      </x:c>
      <x:c r="N121" s="2" t="n">
        <x:f>F121-L121</x:f>
        <x:v>0</x:v>
      </x:c>
      <x:c r="O121" s="2" t="n">
        <x:f>N121-J121</x:f>
        <x:v>0</x:v>
      </x:c>
      <x:c r="P121" s="2" t="n">
        <x:f>L121+I121</x:f>
        <x:v>30</x:v>
      </x:c>
      <x:c r="Q121" s="8" t="n">
        <x:f>P121*E121</x:f>
        <x:v>90</x:v>
      </x:c>
      <x:c r="R121" s="8" t="n">
        <x:f>I121*E121</x:f>
        <x:v>0</x:v>
      </x:c>
      <x:c r="S121" s="8" t="n">
        <x:f>O121*E121</x:f>
        <x:v>0</x:v>
      </x:c>
      <x:c r="T121" s="2" t="str">
        <x:f>IF(A121&lt;DATE(2025,12,1),"",IF(D121="Closed",0,ROUND(AVERAGEIFS('Daily inputs'!$F$2:$F$367,'Daily inputs'!$B$2:$B$367,B121,'Daily inputs'!$C$2:$C$367,C121,'Daily inputs'!$D$2:$D$367,"Training"),0)))</x:f>
      </x:c>
      <x:c r="U121" s="2" t="str">
        <x:f>IF(A121&lt;DATE(2025,12,1),"",ROUND(T121*IF(D121="Christmas",Notes!$B$9,Notes!$B$8),0))</x:f>
      </x:c>
      <x:c r="V121" s="2" t="str">
        <x:f>IF(A121&lt;DATE(2025,12,1),"",ABS(T121-F121))</x:f>
      </x:c>
      <x:c r="W121" s="2" t="str">
        <x:f>IF(A121&lt;DATE(2025,12,1),"",ABS(U121-F121))</x:f>
      </x:c>
      <x:c r="X121" s="2" t="str">
        <x:f>IF(A121&lt;DATE(2025,12,1),"",T121-F121)</x:f>
      </x:c>
      <x:c r="Y121" s="2" t="str">
        <x:f>IF(A121&lt;DATE(2025,12,1),"",U121-F121)</x:f>
      </x:c>
      <x:c r="Z121" s="2" t="n">
        <x:f>IF(N121&gt;0,1,0)</x:f>
        <x:v>0</x:v>
      </x:c>
    </x:row>
    <x:row r="122" ht="21" customHeight="1">
      <x:c r="A122" s="6" t="n">
        <x:f>'Daily inputs'!A122</x:f>
        <x:v>45982</x:v>
      </x:c>
      <x:c r="B122" s="2" t="str">
        <x:f>'Daily inputs'!B122</x:f>
        <x:v>I01</x:v>
      </x:c>
      <x:c r="C122" s="2" t="n">
        <x:f>'Daily inputs'!C122</x:f>
        <x:v>5</x:v>
      </x:c>
      <x:c r="D122" s="2" t="str">
        <x:f>'Daily inputs'!D122</x:f>
        <x:v>Training</x:v>
      </x:c>
      <x:c r="E122" s="7" t="n">
        <x:f>'Daily inputs'!E122</x:f>
        <x:v>8.5</x:v>
      </x:c>
      <x:c r="F122" s="2" t="n">
        <x:f>'Daily inputs'!F122</x:f>
        <x:v>81</x:v>
      </x:c>
      <x:c r="G122" s="2" t="n">
        <x:f>'Daily inputs'!G122</x:f>
        <x:v>11</x:v>
      </x:c>
      <x:c r="H122" s="2" t="n">
        <x:f>'Daily inputs'!H122</x:f>
        <x:v>82</x:v>
      </x:c>
      <x:c r="I122" s="2" t="n">
        <x:f>'Daily inputs'!I122</x:f>
        <x:v>0</x:v>
      </x:c>
      <x:c r="J122" s="2" t="n">
        <x:f>'Daily inputs'!J122</x:f>
        <x:v>0</x:v>
      </x:c>
      <x:c r="K122" s="2" t="n">
        <x:f>'Daily inputs'!K122</x:f>
        <x:v>0</x:v>
      </x:c>
      <x:c r="L122" s="2" t="n">
        <x:f>MIN(F122,G122+H122-I122)</x:f>
        <x:v>81</x:v>
      </x:c>
      <x:c r="M122" s="2" t="n">
        <x:f>G122+H122-L122-I122</x:f>
        <x:v>12</x:v>
      </x:c>
      <x:c r="N122" s="2" t="n">
        <x:f>F122-L122</x:f>
        <x:v>0</x:v>
      </x:c>
      <x:c r="O122" s="2" t="n">
        <x:f>N122-J122</x:f>
        <x:v>0</x:v>
      </x:c>
      <x:c r="P122" s="2" t="n">
        <x:f>L122+I122</x:f>
        <x:v>81</x:v>
      </x:c>
      <x:c r="Q122" s="8" t="n">
        <x:f>P122*E122</x:f>
        <x:v>688.5</x:v>
      </x:c>
      <x:c r="R122" s="8" t="n">
        <x:f>I122*E122</x:f>
        <x:v>0</x:v>
      </x:c>
      <x:c r="S122" s="8" t="n">
        <x:f>O122*E122</x:f>
        <x:v>0</x:v>
      </x:c>
      <x:c r="T122" s="2" t="str">
        <x:f>IF(A122&lt;DATE(2025,12,1),"",IF(D122="Closed",0,ROUND(AVERAGEIFS('Daily inputs'!$F$2:$F$367,'Daily inputs'!$B$2:$B$367,B122,'Daily inputs'!$C$2:$C$367,C122,'Daily inputs'!$D$2:$D$367,"Training"),0)))</x:f>
      </x:c>
      <x:c r="U122" s="2" t="str">
        <x:f>IF(A122&lt;DATE(2025,12,1),"",ROUND(T122*IF(D122="Christmas",Notes!$B$9,Notes!$B$8),0))</x:f>
      </x:c>
      <x:c r="V122" s="2" t="str">
        <x:f>IF(A122&lt;DATE(2025,12,1),"",ABS(T122-F122))</x:f>
      </x:c>
      <x:c r="W122" s="2" t="str">
        <x:f>IF(A122&lt;DATE(2025,12,1),"",ABS(U122-F122))</x:f>
      </x:c>
      <x:c r="X122" s="2" t="str">
        <x:f>IF(A122&lt;DATE(2025,12,1),"",T122-F122)</x:f>
      </x:c>
      <x:c r="Y122" s="2" t="str">
        <x:f>IF(A122&lt;DATE(2025,12,1),"",U122-F122)</x:f>
      </x:c>
      <x:c r="Z122" s="2" t="n">
        <x:f>IF(N122&gt;0,1,0)</x:f>
        <x:v>0</x:v>
      </x:c>
    </x:row>
    <x:row r="123" ht="21" customHeight="1">
      <x:c r="A123" s="6" t="n">
        <x:f>'Daily inputs'!A123</x:f>
        <x:v>45982</x:v>
      </x:c>
      <x:c r="B123" s="2" t="str">
        <x:f>'Daily inputs'!B123</x:f>
        <x:v>I02</x:v>
      </x:c>
      <x:c r="C123" s="2" t="n">
        <x:f>'Daily inputs'!C123</x:f>
        <x:v>5</x:v>
      </x:c>
      <x:c r="D123" s="2" t="str">
        <x:f>'Daily inputs'!D123</x:f>
        <x:v>Training</x:v>
      </x:c>
      <x:c r="E123" s="7" t="n">
        <x:f>'Daily inputs'!E123</x:f>
        <x:v>8</x:v>
      </x:c>
      <x:c r="F123" s="2" t="n">
        <x:f>'Daily inputs'!F123</x:f>
        <x:v>67</x:v>
      </x:c>
      <x:c r="G123" s="2" t="n">
        <x:f>'Daily inputs'!G123</x:f>
        <x:v>9</x:v>
      </x:c>
      <x:c r="H123" s="2" t="n">
        <x:f>'Daily inputs'!H123</x:f>
        <x:v>68</x:v>
      </x:c>
      <x:c r="I123" s="2" t="n">
        <x:f>'Daily inputs'!I123</x:f>
        <x:v>0</x:v>
      </x:c>
      <x:c r="J123" s="2" t="n">
        <x:f>'Daily inputs'!J123</x:f>
        <x:v>0</x:v>
      </x:c>
      <x:c r="K123" s="2" t="n">
        <x:f>'Daily inputs'!K123</x:f>
        <x:v>0</x:v>
      </x:c>
      <x:c r="L123" s="2" t="n">
        <x:f>MIN(F123,G123+H123-I123)</x:f>
        <x:v>67</x:v>
      </x:c>
      <x:c r="M123" s="2" t="n">
        <x:f>G123+H123-L123-I123</x:f>
        <x:v>10</x:v>
      </x:c>
      <x:c r="N123" s="2" t="n">
        <x:f>F123-L123</x:f>
        <x:v>0</x:v>
      </x:c>
      <x:c r="O123" s="2" t="n">
        <x:f>N123-J123</x:f>
        <x:v>0</x:v>
      </x:c>
      <x:c r="P123" s="2" t="n">
        <x:f>L123+I123</x:f>
        <x:v>67</x:v>
      </x:c>
      <x:c r="Q123" s="8" t="n">
        <x:f>P123*E123</x:f>
        <x:v>536</x:v>
      </x:c>
      <x:c r="R123" s="8" t="n">
        <x:f>I123*E123</x:f>
        <x:v>0</x:v>
      </x:c>
      <x:c r="S123" s="8" t="n">
        <x:f>O123*E123</x:f>
        <x:v>0</x:v>
      </x:c>
      <x:c r="T123" s="2" t="str">
        <x:f>IF(A123&lt;DATE(2025,12,1),"",IF(D123="Closed",0,ROUND(AVERAGEIFS('Daily inputs'!$F$2:$F$367,'Daily inputs'!$B$2:$B$367,B123,'Daily inputs'!$C$2:$C$367,C123,'Daily inputs'!$D$2:$D$367,"Training"),0)))</x:f>
      </x:c>
      <x:c r="U123" s="2" t="str">
        <x:f>IF(A123&lt;DATE(2025,12,1),"",ROUND(T123*IF(D123="Christmas",Notes!$B$9,Notes!$B$8),0))</x:f>
      </x:c>
      <x:c r="V123" s="2" t="str">
        <x:f>IF(A123&lt;DATE(2025,12,1),"",ABS(T123-F123))</x:f>
      </x:c>
      <x:c r="W123" s="2" t="str">
        <x:f>IF(A123&lt;DATE(2025,12,1),"",ABS(U123-F123))</x:f>
      </x:c>
      <x:c r="X123" s="2" t="str">
        <x:f>IF(A123&lt;DATE(2025,12,1),"",T123-F123)</x:f>
      </x:c>
      <x:c r="Y123" s="2" t="str">
        <x:f>IF(A123&lt;DATE(2025,12,1),"",U123-F123)</x:f>
      </x:c>
      <x:c r="Z123" s="2" t="n">
        <x:f>IF(N123&gt;0,1,0)</x:f>
        <x:v>0</x:v>
      </x:c>
    </x:row>
    <x:row r="124" ht="21" customHeight="1">
      <x:c r="A124" s="6" t="n">
        <x:f>'Daily inputs'!A124</x:f>
        <x:v>45982</x:v>
      </x:c>
      <x:c r="B124" s="2" t="str">
        <x:f>'Daily inputs'!B124</x:f>
        <x:v>I03</x:v>
      </x:c>
      <x:c r="C124" s="2" t="n">
        <x:f>'Daily inputs'!C124</x:f>
        <x:v>5</x:v>
      </x:c>
      <x:c r="D124" s="2" t="str">
        <x:f>'Daily inputs'!D124</x:f>
        <x:v>Training</x:v>
      </x:c>
      <x:c r="E124" s="7" t="n">
        <x:f>'Daily inputs'!E124</x:f>
        <x:v>7.5</x:v>
      </x:c>
      <x:c r="F124" s="2" t="n">
        <x:f>'Daily inputs'!F124</x:f>
        <x:v>41</x:v>
      </x:c>
      <x:c r="G124" s="2" t="n">
        <x:f>'Daily inputs'!G124</x:f>
        <x:v>5</x:v>
      </x:c>
      <x:c r="H124" s="2" t="n">
        <x:f>'Daily inputs'!H124</x:f>
        <x:v>42</x:v>
      </x:c>
      <x:c r="I124" s="2" t="n">
        <x:f>'Daily inputs'!I124</x:f>
        <x:v>0</x:v>
      </x:c>
      <x:c r="J124" s="2" t="n">
        <x:f>'Daily inputs'!J124</x:f>
        <x:v>0</x:v>
      </x:c>
      <x:c r="K124" s="2" t="n">
        <x:f>'Daily inputs'!K124</x:f>
        <x:v>0</x:v>
      </x:c>
      <x:c r="L124" s="2" t="n">
        <x:f>MIN(F124,G124+H124-I124)</x:f>
        <x:v>41</x:v>
      </x:c>
      <x:c r="M124" s="2" t="n">
        <x:f>G124+H124-L124-I124</x:f>
        <x:v>6</x:v>
      </x:c>
      <x:c r="N124" s="2" t="n">
        <x:f>F124-L124</x:f>
        <x:v>0</x:v>
      </x:c>
      <x:c r="O124" s="2" t="n">
        <x:f>N124-J124</x:f>
        <x:v>0</x:v>
      </x:c>
      <x:c r="P124" s="2" t="n">
        <x:f>L124+I124</x:f>
        <x:v>41</x:v>
      </x:c>
      <x:c r="Q124" s="8" t="n">
        <x:f>P124*E124</x:f>
        <x:v>307.5</x:v>
      </x:c>
      <x:c r="R124" s="8" t="n">
        <x:f>I124*E124</x:f>
        <x:v>0</x:v>
      </x:c>
      <x:c r="S124" s="8" t="n">
        <x:f>O124*E124</x:f>
        <x:v>0</x:v>
      </x:c>
      <x:c r="T124" s="2" t="str">
        <x:f>IF(A124&lt;DATE(2025,12,1),"",IF(D124="Closed",0,ROUND(AVERAGEIFS('Daily inputs'!$F$2:$F$367,'Daily inputs'!$B$2:$B$367,B124,'Daily inputs'!$C$2:$C$367,C124,'Daily inputs'!$D$2:$D$367,"Training"),0)))</x:f>
      </x:c>
      <x:c r="U124" s="2" t="str">
        <x:f>IF(A124&lt;DATE(2025,12,1),"",ROUND(T124*IF(D124="Christmas",Notes!$B$9,Notes!$B$8),0))</x:f>
      </x:c>
      <x:c r="V124" s="2" t="str">
        <x:f>IF(A124&lt;DATE(2025,12,1),"",ABS(T124-F124))</x:f>
      </x:c>
      <x:c r="W124" s="2" t="str">
        <x:f>IF(A124&lt;DATE(2025,12,1),"",ABS(U124-F124))</x:f>
      </x:c>
      <x:c r="X124" s="2" t="str">
        <x:f>IF(A124&lt;DATE(2025,12,1),"",T124-F124)</x:f>
      </x:c>
      <x:c r="Y124" s="2" t="str">
        <x:f>IF(A124&lt;DATE(2025,12,1),"",U124-F124)</x:f>
      </x:c>
      <x:c r="Z124" s="2" t="n">
        <x:f>IF(N124&gt;0,1,0)</x:f>
        <x:v>0</x:v>
      </x:c>
    </x:row>
    <x:row r="125" ht="21" customHeight="1">
      <x:c r="A125" s="6" t="n">
        <x:f>'Daily inputs'!A125</x:f>
        <x:v>45982</x:v>
      </x:c>
      <x:c r="B125" s="2" t="str">
        <x:f>'Daily inputs'!B125</x:f>
        <x:v>I04</x:v>
      </x:c>
      <x:c r="C125" s="2" t="n">
        <x:f>'Daily inputs'!C125</x:f>
        <x:v>5</x:v>
      </x:c>
      <x:c r="D125" s="2" t="str">
        <x:f>'Daily inputs'!D125</x:f>
        <x:v>Training</x:v>
      </x:c>
      <x:c r="E125" s="7" t="n">
        <x:f>'Daily inputs'!E125</x:f>
        <x:v>9</x:v>
      </x:c>
      <x:c r="F125" s="2" t="n">
        <x:f>'Daily inputs'!F125</x:f>
        <x:v>48</x:v>
      </x:c>
      <x:c r="G125" s="2" t="n">
        <x:f>'Daily inputs'!G125</x:f>
        <x:v>6</x:v>
      </x:c>
      <x:c r="H125" s="2" t="n">
        <x:f>'Daily inputs'!H125</x:f>
        <x:v>49</x:v>
      </x:c>
      <x:c r="I125" s="2" t="n">
        <x:f>'Daily inputs'!I125</x:f>
        <x:v>0</x:v>
      </x:c>
      <x:c r="J125" s="2" t="n">
        <x:f>'Daily inputs'!J125</x:f>
        <x:v>0</x:v>
      </x:c>
      <x:c r="K125" s="2" t="n">
        <x:f>'Daily inputs'!K125</x:f>
        <x:v>0</x:v>
      </x:c>
      <x:c r="L125" s="2" t="n">
        <x:f>MIN(F125,G125+H125-I125)</x:f>
        <x:v>48</x:v>
      </x:c>
      <x:c r="M125" s="2" t="n">
        <x:f>G125+H125-L125-I125</x:f>
        <x:v>7</x:v>
      </x:c>
      <x:c r="N125" s="2" t="n">
        <x:f>F125-L125</x:f>
        <x:v>0</x:v>
      </x:c>
      <x:c r="O125" s="2" t="n">
        <x:f>N125-J125</x:f>
        <x:v>0</x:v>
      </x:c>
      <x:c r="P125" s="2" t="n">
        <x:f>L125+I125</x:f>
        <x:v>48</x:v>
      </x:c>
      <x:c r="Q125" s="8" t="n">
        <x:f>P125*E125</x:f>
        <x:v>432</x:v>
      </x:c>
      <x:c r="R125" s="8" t="n">
        <x:f>I125*E125</x:f>
        <x:v>0</x:v>
      </x:c>
      <x:c r="S125" s="8" t="n">
        <x:f>O125*E125</x:f>
        <x:v>0</x:v>
      </x:c>
      <x:c r="T125" s="2" t="str">
        <x:f>IF(A125&lt;DATE(2025,12,1),"",IF(D125="Closed",0,ROUND(AVERAGEIFS('Daily inputs'!$F$2:$F$367,'Daily inputs'!$B$2:$B$367,B125,'Daily inputs'!$C$2:$C$367,C125,'Daily inputs'!$D$2:$D$367,"Training"),0)))</x:f>
      </x:c>
      <x:c r="U125" s="2" t="str">
        <x:f>IF(A125&lt;DATE(2025,12,1),"",ROUND(T125*IF(D125="Christmas",Notes!$B$9,Notes!$B$8),0))</x:f>
      </x:c>
      <x:c r="V125" s="2" t="str">
        <x:f>IF(A125&lt;DATE(2025,12,1),"",ABS(T125-F125))</x:f>
      </x:c>
      <x:c r="W125" s="2" t="str">
        <x:f>IF(A125&lt;DATE(2025,12,1),"",ABS(U125-F125))</x:f>
      </x:c>
      <x:c r="X125" s="2" t="str">
        <x:f>IF(A125&lt;DATE(2025,12,1),"",T125-F125)</x:f>
      </x:c>
      <x:c r="Y125" s="2" t="str">
        <x:f>IF(A125&lt;DATE(2025,12,1),"",U125-F125)</x:f>
      </x:c>
      <x:c r="Z125" s="2" t="n">
        <x:f>IF(N125&gt;0,1,0)</x:f>
        <x:v>0</x:v>
      </x:c>
    </x:row>
    <x:row r="126" ht="21" customHeight="1">
      <x:c r="A126" s="6" t="n">
        <x:f>'Daily inputs'!A126</x:f>
        <x:v>45982</x:v>
      </x:c>
      <x:c r="B126" s="2" t="str">
        <x:f>'Daily inputs'!B126</x:f>
        <x:v>I05</x:v>
      </x:c>
      <x:c r="C126" s="2" t="n">
        <x:f>'Daily inputs'!C126</x:f>
        <x:v>5</x:v>
      </x:c>
      <x:c r="D126" s="2" t="str">
        <x:f>'Daily inputs'!D126</x:f>
        <x:v>Training</x:v>
      </x:c>
      <x:c r="E126" s="7" t="n">
        <x:f>'Daily inputs'!E126</x:f>
        <x:v>3.5</x:v>
      </x:c>
      <x:c r="F126" s="2" t="n">
        <x:f>'Daily inputs'!F126</x:f>
        <x:v>94</x:v>
      </x:c>
      <x:c r="G126" s="2" t="n">
        <x:f>'Daily inputs'!G126</x:f>
        <x:v>12</x:v>
      </x:c>
      <x:c r="H126" s="2" t="n">
        <x:f>'Daily inputs'!H126</x:f>
        <x:v>96</x:v>
      </x:c>
      <x:c r="I126" s="2" t="n">
        <x:f>'Daily inputs'!I126</x:f>
        <x:v>0</x:v>
      </x:c>
      <x:c r="J126" s="2" t="n">
        <x:f>'Daily inputs'!J126</x:f>
        <x:v>0</x:v>
      </x:c>
      <x:c r="K126" s="2" t="n">
        <x:f>'Daily inputs'!K126</x:f>
        <x:v>0</x:v>
      </x:c>
      <x:c r="L126" s="2" t="n">
        <x:f>MIN(F126,G126+H126-I126)</x:f>
        <x:v>94</x:v>
      </x:c>
      <x:c r="M126" s="2" t="n">
        <x:f>G126+H126-L126-I126</x:f>
        <x:v>14</x:v>
      </x:c>
      <x:c r="N126" s="2" t="n">
        <x:f>F126-L126</x:f>
        <x:v>0</x:v>
      </x:c>
      <x:c r="O126" s="2" t="n">
        <x:f>N126-J126</x:f>
        <x:v>0</x:v>
      </x:c>
      <x:c r="P126" s="2" t="n">
        <x:f>L126+I126</x:f>
        <x:v>94</x:v>
      </x:c>
      <x:c r="Q126" s="8" t="n">
        <x:f>P126*E126</x:f>
        <x:v>329</x:v>
      </x:c>
      <x:c r="R126" s="8" t="n">
        <x:f>I126*E126</x:f>
        <x:v>0</x:v>
      </x:c>
      <x:c r="S126" s="8" t="n">
        <x:f>O126*E126</x:f>
        <x:v>0</x:v>
      </x:c>
      <x:c r="T126" s="2" t="str">
        <x:f>IF(A126&lt;DATE(2025,12,1),"",IF(D126="Closed",0,ROUND(AVERAGEIFS('Daily inputs'!$F$2:$F$367,'Daily inputs'!$B$2:$B$367,B126,'Daily inputs'!$C$2:$C$367,C126,'Daily inputs'!$D$2:$D$367,"Training"),0)))</x:f>
      </x:c>
      <x:c r="U126" s="2" t="str">
        <x:f>IF(A126&lt;DATE(2025,12,1),"",ROUND(T126*IF(D126="Christmas",Notes!$B$9,Notes!$B$8),0))</x:f>
      </x:c>
      <x:c r="V126" s="2" t="str">
        <x:f>IF(A126&lt;DATE(2025,12,1),"",ABS(T126-F126))</x:f>
      </x:c>
      <x:c r="W126" s="2" t="str">
        <x:f>IF(A126&lt;DATE(2025,12,1),"",ABS(U126-F126))</x:f>
      </x:c>
      <x:c r="X126" s="2" t="str">
        <x:f>IF(A126&lt;DATE(2025,12,1),"",T126-F126)</x:f>
      </x:c>
      <x:c r="Y126" s="2" t="str">
        <x:f>IF(A126&lt;DATE(2025,12,1),"",U126-F126)</x:f>
      </x:c>
      <x:c r="Z126" s="2" t="n">
        <x:f>IF(N126&gt;0,1,0)</x:f>
        <x:v>0</x:v>
      </x:c>
    </x:row>
    <x:row r="127" ht="21" customHeight="1">
      <x:c r="A127" s="6" t="n">
        <x:f>'Daily inputs'!A127</x:f>
        <x:v>45982</x:v>
      </x:c>
      <x:c r="B127" s="2" t="str">
        <x:f>'Daily inputs'!B127</x:f>
        <x:v>I06</x:v>
      </x:c>
      <x:c r="C127" s="2" t="n">
        <x:f>'Daily inputs'!C127</x:f>
        <x:v>5</x:v>
      </x:c>
      <x:c r="D127" s="2" t="str">
        <x:f>'Daily inputs'!D127</x:f>
        <x:v>Training</x:v>
      </x:c>
      <x:c r="E127" s="7" t="n">
        <x:f>'Daily inputs'!E127</x:f>
        <x:v>3</x:v>
      </x:c>
      <x:c r="F127" s="2" t="n">
        <x:f>'Daily inputs'!F127</x:f>
        <x:v>38</x:v>
      </x:c>
      <x:c r="G127" s="2" t="n">
        <x:f>'Daily inputs'!G127</x:f>
        <x:v>5</x:v>
      </x:c>
      <x:c r="H127" s="2" t="n">
        <x:f>'Daily inputs'!H127</x:f>
        <x:v>39</x:v>
      </x:c>
      <x:c r="I127" s="2" t="n">
        <x:f>'Daily inputs'!I127</x:f>
        <x:v>0</x:v>
      </x:c>
      <x:c r="J127" s="2" t="n">
        <x:f>'Daily inputs'!J127</x:f>
        <x:v>0</x:v>
      </x:c>
      <x:c r="K127" s="2" t="n">
        <x:f>'Daily inputs'!K127</x:f>
        <x:v>0</x:v>
      </x:c>
      <x:c r="L127" s="2" t="n">
        <x:f>MIN(F127,G127+H127-I127)</x:f>
        <x:v>38</x:v>
      </x:c>
      <x:c r="M127" s="2" t="n">
        <x:f>G127+H127-L127-I127</x:f>
        <x:v>6</x:v>
      </x:c>
      <x:c r="N127" s="2" t="n">
        <x:f>F127-L127</x:f>
        <x:v>0</x:v>
      </x:c>
      <x:c r="O127" s="2" t="n">
        <x:f>N127-J127</x:f>
        <x:v>0</x:v>
      </x:c>
      <x:c r="P127" s="2" t="n">
        <x:f>L127+I127</x:f>
        <x:v>38</x:v>
      </x:c>
      <x:c r="Q127" s="8" t="n">
        <x:f>P127*E127</x:f>
        <x:v>114</x:v>
      </x:c>
      <x:c r="R127" s="8" t="n">
        <x:f>I127*E127</x:f>
        <x:v>0</x:v>
      </x:c>
      <x:c r="S127" s="8" t="n">
        <x:f>O127*E127</x:f>
        <x:v>0</x:v>
      </x:c>
      <x:c r="T127" s="2" t="str">
        <x:f>IF(A127&lt;DATE(2025,12,1),"",IF(D127="Closed",0,ROUND(AVERAGEIFS('Daily inputs'!$F$2:$F$367,'Daily inputs'!$B$2:$B$367,B127,'Daily inputs'!$C$2:$C$367,C127,'Daily inputs'!$D$2:$D$367,"Training"),0)))</x:f>
      </x:c>
      <x:c r="U127" s="2" t="str">
        <x:f>IF(A127&lt;DATE(2025,12,1),"",ROUND(T127*IF(D127="Christmas",Notes!$B$9,Notes!$B$8),0))</x:f>
      </x:c>
      <x:c r="V127" s="2" t="str">
        <x:f>IF(A127&lt;DATE(2025,12,1),"",ABS(T127-F127))</x:f>
      </x:c>
      <x:c r="W127" s="2" t="str">
        <x:f>IF(A127&lt;DATE(2025,12,1),"",ABS(U127-F127))</x:f>
      </x:c>
      <x:c r="X127" s="2" t="str">
        <x:f>IF(A127&lt;DATE(2025,12,1),"",T127-F127)</x:f>
      </x:c>
      <x:c r="Y127" s="2" t="str">
        <x:f>IF(A127&lt;DATE(2025,12,1),"",U127-F127)</x:f>
      </x:c>
      <x:c r="Z127" s="2" t="n">
        <x:f>IF(N127&gt;0,1,0)</x:f>
        <x:v>0</x:v>
      </x:c>
    </x:row>
    <x:row r="128" ht="21" customHeight="1">
      <x:c r="A128" s="6" t="n">
        <x:f>'Daily inputs'!A128</x:f>
        <x:v>45983</x:v>
      </x:c>
      <x:c r="B128" s="2" t="str">
        <x:f>'Daily inputs'!B128</x:f>
        <x:v>I01</x:v>
      </x:c>
      <x:c r="C128" s="2" t="n">
        <x:f>'Daily inputs'!C128</x:f>
        <x:v>6</x:v>
      </x:c>
      <x:c r="D128" s="2" t="str">
        <x:f>'Daily inputs'!D128</x:f>
        <x:v>Training</x:v>
      </x:c>
      <x:c r="E128" s="7" t="n">
        <x:f>'Daily inputs'!E128</x:f>
        <x:v>8.5</x:v>
      </x:c>
      <x:c r="F128" s="2" t="n">
        <x:f>'Daily inputs'!F128</x:f>
        <x:v>96</x:v>
      </x:c>
      <x:c r="G128" s="2" t="n">
        <x:f>'Daily inputs'!G128</x:f>
        <x:v>12</x:v>
      </x:c>
      <x:c r="H128" s="2" t="n">
        <x:f>'Daily inputs'!H128</x:f>
        <x:v>98</x:v>
      </x:c>
      <x:c r="I128" s="2" t="n">
        <x:f>'Daily inputs'!I128</x:f>
        <x:v>0</x:v>
      </x:c>
      <x:c r="J128" s="2" t="n">
        <x:f>'Daily inputs'!J128</x:f>
        <x:v>0</x:v>
      </x:c>
      <x:c r="K128" s="2" t="n">
        <x:f>'Daily inputs'!K128</x:f>
        <x:v>0</x:v>
      </x:c>
      <x:c r="L128" s="2" t="n">
        <x:f>MIN(F128,G128+H128-I128)</x:f>
        <x:v>96</x:v>
      </x:c>
      <x:c r="M128" s="2" t="n">
        <x:f>G128+H128-L128-I128</x:f>
        <x:v>14</x:v>
      </x:c>
      <x:c r="N128" s="2" t="n">
        <x:f>F128-L128</x:f>
        <x:v>0</x:v>
      </x:c>
      <x:c r="O128" s="2" t="n">
        <x:f>N128-J128</x:f>
        <x:v>0</x:v>
      </x:c>
      <x:c r="P128" s="2" t="n">
        <x:f>L128+I128</x:f>
        <x:v>96</x:v>
      </x:c>
      <x:c r="Q128" s="8" t="n">
        <x:f>P128*E128</x:f>
        <x:v>816</x:v>
      </x:c>
      <x:c r="R128" s="8" t="n">
        <x:f>I128*E128</x:f>
        <x:v>0</x:v>
      </x:c>
      <x:c r="S128" s="8" t="n">
        <x:f>O128*E128</x:f>
        <x:v>0</x:v>
      </x:c>
      <x:c r="T128" s="2" t="str">
        <x:f>IF(A128&lt;DATE(2025,12,1),"",IF(D128="Closed",0,ROUND(AVERAGEIFS('Daily inputs'!$F$2:$F$367,'Daily inputs'!$B$2:$B$367,B128,'Daily inputs'!$C$2:$C$367,C128,'Daily inputs'!$D$2:$D$367,"Training"),0)))</x:f>
      </x:c>
      <x:c r="U128" s="2" t="str">
        <x:f>IF(A128&lt;DATE(2025,12,1),"",ROUND(T128*IF(D128="Christmas",Notes!$B$9,Notes!$B$8),0))</x:f>
      </x:c>
      <x:c r="V128" s="2" t="str">
        <x:f>IF(A128&lt;DATE(2025,12,1),"",ABS(T128-F128))</x:f>
      </x:c>
      <x:c r="W128" s="2" t="str">
        <x:f>IF(A128&lt;DATE(2025,12,1),"",ABS(U128-F128))</x:f>
      </x:c>
      <x:c r="X128" s="2" t="str">
        <x:f>IF(A128&lt;DATE(2025,12,1),"",T128-F128)</x:f>
      </x:c>
      <x:c r="Y128" s="2" t="str">
        <x:f>IF(A128&lt;DATE(2025,12,1),"",U128-F128)</x:f>
      </x:c>
      <x:c r="Z128" s="2" t="n">
        <x:f>IF(N128&gt;0,1,0)</x:f>
        <x:v>0</x:v>
      </x:c>
    </x:row>
    <x:row r="129" ht="21" customHeight="1">
      <x:c r="A129" s="6" t="n">
        <x:f>'Daily inputs'!A129</x:f>
        <x:v>45983</x:v>
      </x:c>
      <x:c r="B129" s="2" t="str">
        <x:f>'Daily inputs'!B129</x:f>
        <x:v>I02</x:v>
      </x:c>
      <x:c r="C129" s="2" t="n">
        <x:f>'Daily inputs'!C129</x:f>
        <x:v>6</x:v>
      </x:c>
      <x:c r="D129" s="2" t="str">
        <x:f>'Daily inputs'!D129</x:f>
        <x:v>Training</x:v>
      </x:c>
      <x:c r="E129" s="7" t="n">
        <x:f>'Daily inputs'!E129</x:f>
        <x:v>8</x:v>
      </x:c>
      <x:c r="F129" s="2" t="n">
        <x:f>'Daily inputs'!F129</x:f>
        <x:v>71</x:v>
      </x:c>
      <x:c r="G129" s="2" t="n">
        <x:f>'Daily inputs'!G129</x:f>
        <x:v>10</x:v>
      </x:c>
      <x:c r="H129" s="2" t="n">
        <x:f>'Daily inputs'!H129</x:f>
        <x:v>72</x:v>
      </x:c>
      <x:c r="I129" s="2" t="n">
        <x:f>'Daily inputs'!I129</x:f>
        <x:v>0</x:v>
      </x:c>
      <x:c r="J129" s="2" t="n">
        <x:f>'Daily inputs'!J129</x:f>
        <x:v>0</x:v>
      </x:c>
      <x:c r="K129" s="2" t="n">
        <x:f>'Daily inputs'!K129</x:f>
        <x:v>0</x:v>
      </x:c>
      <x:c r="L129" s="2" t="n">
        <x:f>MIN(F129,G129+H129-I129)</x:f>
        <x:v>71</x:v>
      </x:c>
      <x:c r="M129" s="2" t="n">
        <x:f>G129+H129-L129-I129</x:f>
        <x:v>11</x:v>
      </x:c>
      <x:c r="N129" s="2" t="n">
        <x:f>F129-L129</x:f>
        <x:v>0</x:v>
      </x:c>
      <x:c r="O129" s="2" t="n">
        <x:f>N129-J129</x:f>
        <x:v>0</x:v>
      </x:c>
      <x:c r="P129" s="2" t="n">
        <x:f>L129+I129</x:f>
        <x:v>71</x:v>
      </x:c>
      <x:c r="Q129" s="8" t="n">
        <x:f>P129*E129</x:f>
        <x:v>568</x:v>
      </x:c>
      <x:c r="R129" s="8" t="n">
        <x:f>I129*E129</x:f>
        <x:v>0</x:v>
      </x:c>
      <x:c r="S129" s="8" t="n">
        <x:f>O129*E129</x:f>
        <x:v>0</x:v>
      </x:c>
      <x:c r="T129" s="2" t="str">
        <x:f>IF(A129&lt;DATE(2025,12,1),"",IF(D129="Closed",0,ROUND(AVERAGEIFS('Daily inputs'!$F$2:$F$367,'Daily inputs'!$B$2:$B$367,B129,'Daily inputs'!$C$2:$C$367,C129,'Daily inputs'!$D$2:$D$367,"Training"),0)))</x:f>
      </x:c>
      <x:c r="U129" s="2" t="str">
        <x:f>IF(A129&lt;DATE(2025,12,1),"",ROUND(T129*IF(D129="Christmas",Notes!$B$9,Notes!$B$8),0))</x:f>
      </x:c>
      <x:c r="V129" s="2" t="str">
        <x:f>IF(A129&lt;DATE(2025,12,1),"",ABS(T129-F129))</x:f>
      </x:c>
      <x:c r="W129" s="2" t="str">
        <x:f>IF(A129&lt;DATE(2025,12,1),"",ABS(U129-F129))</x:f>
      </x:c>
      <x:c r="X129" s="2" t="str">
        <x:f>IF(A129&lt;DATE(2025,12,1),"",T129-F129)</x:f>
      </x:c>
      <x:c r="Y129" s="2" t="str">
        <x:f>IF(A129&lt;DATE(2025,12,1),"",U129-F129)</x:f>
      </x:c>
      <x:c r="Z129" s="2" t="n">
        <x:f>IF(N129&gt;0,1,0)</x:f>
        <x:v>0</x:v>
      </x:c>
    </x:row>
    <x:row r="130" ht="21" customHeight="1">
      <x:c r="A130" s="6" t="n">
        <x:f>'Daily inputs'!A130</x:f>
        <x:v>45983</x:v>
      </x:c>
      <x:c r="B130" s="2" t="str">
        <x:f>'Daily inputs'!B130</x:f>
        <x:v>I03</x:v>
      </x:c>
      <x:c r="C130" s="2" t="n">
        <x:f>'Daily inputs'!C130</x:f>
        <x:v>6</x:v>
      </x:c>
      <x:c r="D130" s="2" t="str">
        <x:f>'Daily inputs'!D130</x:f>
        <x:v>Training</x:v>
      </x:c>
      <x:c r="E130" s="7" t="n">
        <x:f>'Daily inputs'!E130</x:f>
        <x:v>7.5</x:v>
      </x:c>
      <x:c r="F130" s="2" t="n">
        <x:f>'Daily inputs'!F130</x:f>
        <x:v>43</x:v>
      </x:c>
      <x:c r="G130" s="2" t="n">
        <x:f>'Daily inputs'!G130</x:f>
        <x:v>6</x:v>
      </x:c>
      <x:c r="H130" s="2" t="n">
        <x:f>'Daily inputs'!H130</x:f>
        <x:v>43</x:v>
      </x:c>
      <x:c r="I130" s="2" t="n">
        <x:f>'Daily inputs'!I130</x:f>
        <x:v>0</x:v>
      </x:c>
      <x:c r="J130" s="2" t="n">
        <x:f>'Daily inputs'!J130</x:f>
        <x:v>0</x:v>
      </x:c>
      <x:c r="K130" s="2" t="n">
        <x:f>'Daily inputs'!K130</x:f>
        <x:v>0</x:v>
      </x:c>
      <x:c r="L130" s="2" t="n">
        <x:f>MIN(F130,G130+H130-I130)</x:f>
        <x:v>43</x:v>
      </x:c>
      <x:c r="M130" s="2" t="n">
        <x:f>G130+H130-L130-I130</x:f>
        <x:v>6</x:v>
      </x:c>
      <x:c r="N130" s="2" t="n">
        <x:f>F130-L130</x:f>
        <x:v>0</x:v>
      </x:c>
      <x:c r="O130" s="2" t="n">
        <x:f>N130-J130</x:f>
        <x:v>0</x:v>
      </x:c>
      <x:c r="P130" s="2" t="n">
        <x:f>L130+I130</x:f>
        <x:v>43</x:v>
      </x:c>
      <x:c r="Q130" s="8" t="n">
        <x:f>P130*E130</x:f>
        <x:v>322.5</x:v>
      </x:c>
      <x:c r="R130" s="8" t="n">
        <x:f>I130*E130</x:f>
        <x:v>0</x:v>
      </x:c>
      <x:c r="S130" s="8" t="n">
        <x:f>O130*E130</x:f>
        <x:v>0</x:v>
      </x:c>
      <x:c r="T130" s="2" t="str">
        <x:f>IF(A130&lt;DATE(2025,12,1),"",IF(D130="Closed",0,ROUND(AVERAGEIFS('Daily inputs'!$F$2:$F$367,'Daily inputs'!$B$2:$B$367,B130,'Daily inputs'!$C$2:$C$367,C130,'Daily inputs'!$D$2:$D$367,"Training"),0)))</x:f>
      </x:c>
      <x:c r="U130" s="2" t="str">
        <x:f>IF(A130&lt;DATE(2025,12,1),"",ROUND(T130*IF(D130="Christmas",Notes!$B$9,Notes!$B$8),0))</x:f>
      </x:c>
      <x:c r="V130" s="2" t="str">
        <x:f>IF(A130&lt;DATE(2025,12,1),"",ABS(T130-F130))</x:f>
      </x:c>
      <x:c r="W130" s="2" t="str">
        <x:f>IF(A130&lt;DATE(2025,12,1),"",ABS(U130-F130))</x:f>
      </x:c>
      <x:c r="X130" s="2" t="str">
        <x:f>IF(A130&lt;DATE(2025,12,1),"",T130-F130)</x:f>
      </x:c>
      <x:c r="Y130" s="2" t="str">
        <x:f>IF(A130&lt;DATE(2025,12,1),"",U130-F130)</x:f>
      </x:c>
      <x:c r="Z130" s="2" t="n">
        <x:f>IF(N130&gt;0,1,0)</x:f>
        <x:v>0</x:v>
      </x:c>
    </x:row>
    <x:row r="131" ht="21" customHeight="1">
      <x:c r="A131" s="6" t="n">
        <x:f>'Daily inputs'!A131</x:f>
        <x:v>45983</x:v>
      </x:c>
      <x:c r="B131" s="2" t="str">
        <x:f>'Daily inputs'!B131</x:f>
        <x:v>I04</x:v>
      </x:c>
      <x:c r="C131" s="2" t="n">
        <x:f>'Daily inputs'!C131</x:f>
        <x:v>6</x:v>
      </x:c>
      <x:c r="D131" s="2" t="str">
        <x:f>'Daily inputs'!D131</x:f>
        <x:v>Training</x:v>
      </x:c>
      <x:c r="E131" s="7" t="n">
        <x:f>'Daily inputs'!E131</x:f>
        <x:v>9</x:v>
      </x:c>
      <x:c r="F131" s="2" t="n">
        <x:f>'Daily inputs'!F131</x:f>
        <x:v>50</x:v>
      </x:c>
      <x:c r="G131" s="2" t="n">
        <x:f>'Daily inputs'!G131</x:f>
        <x:v>7</x:v>
      </x:c>
      <x:c r="H131" s="2" t="n">
        <x:f>'Daily inputs'!H131</x:f>
        <x:v>50</x:v>
      </x:c>
      <x:c r="I131" s="2" t="n">
        <x:f>'Daily inputs'!I131</x:f>
        <x:v>0</x:v>
      </x:c>
      <x:c r="J131" s="2" t="n">
        <x:f>'Daily inputs'!J131</x:f>
        <x:v>0</x:v>
      </x:c>
      <x:c r="K131" s="2" t="n">
        <x:f>'Daily inputs'!K131</x:f>
        <x:v>0</x:v>
      </x:c>
      <x:c r="L131" s="2" t="n">
        <x:f>MIN(F131,G131+H131-I131)</x:f>
        <x:v>50</x:v>
      </x:c>
      <x:c r="M131" s="2" t="n">
        <x:f>G131+H131-L131-I131</x:f>
        <x:v>7</x:v>
      </x:c>
      <x:c r="N131" s="2" t="n">
        <x:f>F131-L131</x:f>
        <x:v>0</x:v>
      </x:c>
      <x:c r="O131" s="2" t="n">
        <x:f>N131-J131</x:f>
        <x:v>0</x:v>
      </x:c>
      <x:c r="P131" s="2" t="n">
        <x:f>L131+I131</x:f>
        <x:v>50</x:v>
      </x:c>
      <x:c r="Q131" s="8" t="n">
        <x:f>P131*E131</x:f>
        <x:v>450</x:v>
      </x:c>
      <x:c r="R131" s="8" t="n">
        <x:f>I131*E131</x:f>
        <x:v>0</x:v>
      </x:c>
      <x:c r="S131" s="8" t="n">
        <x:f>O131*E131</x:f>
        <x:v>0</x:v>
      </x:c>
      <x:c r="T131" s="2" t="str">
        <x:f>IF(A131&lt;DATE(2025,12,1),"",IF(D131="Closed",0,ROUND(AVERAGEIFS('Daily inputs'!$F$2:$F$367,'Daily inputs'!$B$2:$B$367,B131,'Daily inputs'!$C$2:$C$367,C131,'Daily inputs'!$D$2:$D$367,"Training"),0)))</x:f>
      </x:c>
      <x:c r="U131" s="2" t="str">
        <x:f>IF(A131&lt;DATE(2025,12,1),"",ROUND(T131*IF(D131="Christmas",Notes!$B$9,Notes!$B$8),0))</x:f>
      </x:c>
      <x:c r="V131" s="2" t="str">
        <x:f>IF(A131&lt;DATE(2025,12,1),"",ABS(T131-F131))</x:f>
      </x:c>
      <x:c r="W131" s="2" t="str">
        <x:f>IF(A131&lt;DATE(2025,12,1),"",ABS(U131-F131))</x:f>
      </x:c>
      <x:c r="X131" s="2" t="str">
        <x:f>IF(A131&lt;DATE(2025,12,1),"",T131-F131)</x:f>
      </x:c>
      <x:c r="Y131" s="2" t="str">
        <x:f>IF(A131&lt;DATE(2025,12,1),"",U131-F131)</x:f>
      </x:c>
      <x:c r="Z131" s="2" t="n">
        <x:f>IF(N131&gt;0,1,0)</x:f>
        <x:v>0</x:v>
      </x:c>
    </x:row>
    <x:row r="132" ht="21" customHeight="1">
      <x:c r="A132" s="6" t="n">
        <x:f>'Daily inputs'!A132</x:f>
        <x:v>45983</x:v>
      </x:c>
      <x:c r="B132" s="2" t="str">
        <x:f>'Daily inputs'!B132</x:f>
        <x:v>I05</x:v>
      </x:c>
      <x:c r="C132" s="2" t="n">
        <x:f>'Daily inputs'!C132</x:f>
        <x:v>6</x:v>
      </x:c>
      <x:c r="D132" s="2" t="str">
        <x:f>'Daily inputs'!D132</x:f>
        <x:v>Training</x:v>
      </x:c>
      <x:c r="E132" s="7" t="n">
        <x:f>'Daily inputs'!E132</x:f>
        <x:v>3.5</x:v>
      </x:c>
      <x:c r="F132" s="2" t="n">
        <x:f>'Daily inputs'!F132</x:f>
        <x:v>109</x:v>
      </x:c>
      <x:c r="G132" s="2" t="n">
        <x:f>'Daily inputs'!G132</x:f>
        <x:v>14</x:v>
      </x:c>
      <x:c r="H132" s="2" t="n">
        <x:f>'Daily inputs'!H132</x:f>
        <x:v>111</x:v>
      </x:c>
      <x:c r="I132" s="2" t="n">
        <x:f>'Daily inputs'!I132</x:f>
        <x:v>0</x:v>
      </x:c>
      <x:c r="J132" s="2" t="n">
        <x:f>'Daily inputs'!J132</x:f>
        <x:v>0</x:v>
      </x:c>
      <x:c r="K132" s="2" t="n">
        <x:f>'Daily inputs'!K132</x:f>
        <x:v>0</x:v>
      </x:c>
      <x:c r="L132" s="2" t="n">
        <x:f>MIN(F132,G132+H132-I132)</x:f>
        <x:v>109</x:v>
      </x:c>
      <x:c r="M132" s="2" t="n">
        <x:f>G132+H132-L132-I132</x:f>
        <x:v>16</x:v>
      </x:c>
      <x:c r="N132" s="2" t="n">
        <x:f>F132-L132</x:f>
        <x:v>0</x:v>
      </x:c>
      <x:c r="O132" s="2" t="n">
        <x:f>N132-J132</x:f>
        <x:v>0</x:v>
      </x:c>
      <x:c r="P132" s="2" t="n">
        <x:f>L132+I132</x:f>
        <x:v>109</x:v>
      </x:c>
      <x:c r="Q132" s="8" t="n">
        <x:f>P132*E132</x:f>
        <x:v>381.5</x:v>
      </x:c>
      <x:c r="R132" s="8" t="n">
        <x:f>I132*E132</x:f>
        <x:v>0</x:v>
      </x:c>
      <x:c r="S132" s="8" t="n">
        <x:f>O132*E132</x:f>
        <x:v>0</x:v>
      </x:c>
      <x:c r="T132" s="2" t="str">
        <x:f>IF(A132&lt;DATE(2025,12,1),"",IF(D132="Closed",0,ROUND(AVERAGEIFS('Daily inputs'!$F$2:$F$367,'Daily inputs'!$B$2:$B$367,B132,'Daily inputs'!$C$2:$C$367,C132,'Daily inputs'!$D$2:$D$367,"Training"),0)))</x:f>
      </x:c>
      <x:c r="U132" s="2" t="str">
        <x:f>IF(A132&lt;DATE(2025,12,1),"",ROUND(T132*IF(D132="Christmas",Notes!$B$9,Notes!$B$8),0))</x:f>
      </x:c>
      <x:c r="V132" s="2" t="str">
        <x:f>IF(A132&lt;DATE(2025,12,1),"",ABS(T132-F132))</x:f>
      </x:c>
      <x:c r="W132" s="2" t="str">
        <x:f>IF(A132&lt;DATE(2025,12,1),"",ABS(U132-F132))</x:f>
      </x:c>
      <x:c r="X132" s="2" t="str">
        <x:f>IF(A132&lt;DATE(2025,12,1),"",T132-F132)</x:f>
      </x:c>
      <x:c r="Y132" s="2" t="str">
        <x:f>IF(A132&lt;DATE(2025,12,1),"",U132-F132)</x:f>
      </x:c>
      <x:c r="Z132" s="2" t="n">
        <x:f>IF(N132&gt;0,1,0)</x:f>
        <x:v>0</x:v>
      </x:c>
    </x:row>
    <x:row r="133" ht="21" customHeight="1">
      <x:c r="A133" s="6" t="n">
        <x:f>'Daily inputs'!A133</x:f>
        <x:v>45983</x:v>
      </x:c>
      <x:c r="B133" s="2" t="str">
        <x:f>'Daily inputs'!B133</x:f>
        <x:v>I06</x:v>
      </x:c>
      <x:c r="C133" s="2" t="n">
        <x:f>'Daily inputs'!C133</x:f>
        <x:v>6</x:v>
      </x:c>
      <x:c r="D133" s="2" t="str">
        <x:f>'Daily inputs'!D133</x:f>
        <x:v>Training</x:v>
      </x:c>
      <x:c r="E133" s="7" t="n">
        <x:f>'Daily inputs'!E133</x:f>
        <x:v>3</x:v>
      </x:c>
      <x:c r="F133" s="2" t="n">
        <x:f>'Daily inputs'!F133</x:f>
        <x:v>39</x:v>
      </x:c>
      <x:c r="G133" s="2" t="n">
        <x:f>'Daily inputs'!G133</x:f>
        <x:v>6</x:v>
      </x:c>
      <x:c r="H133" s="2" t="n">
        <x:f>'Daily inputs'!H133</x:f>
        <x:v>39</x:v>
      </x:c>
      <x:c r="I133" s="2" t="n">
        <x:f>'Daily inputs'!I133</x:f>
        <x:v>0</x:v>
      </x:c>
      <x:c r="J133" s="2" t="n">
        <x:f>'Daily inputs'!J133</x:f>
        <x:v>0</x:v>
      </x:c>
      <x:c r="K133" s="2" t="n">
        <x:f>'Daily inputs'!K133</x:f>
        <x:v>0</x:v>
      </x:c>
      <x:c r="L133" s="2" t="n">
        <x:f>MIN(F133,G133+H133-I133)</x:f>
        <x:v>39</x:v>
      </x:c>
      <x:c r="M133" s="2" t="n">
        <x:f>G133+H133-L133-I133</x:f>
        <x:v>6</x:v>
      </x:c>
      <x:c r="N133" s="2" t="n">
        <x:f>F133-L133</x:f>
        <x:v>0</x:v>
      </x:c>
      <x:c r="O133" s="2" t="n">
        <x:f>N133-J133</x:f>
        <x:v>0</x:v>
      </x:c>
      <x:c r="P133" s="2" t="n">
        <x:f>L133+I133</x:f>
        <x:v>39</x:v>
      </x:c>
      <x:c r="Q133" s="8" t="n">
        <x:f>P133*E133</x:f>
        <x:v>117</x:v>
      </x:c>
      <x:c r="R133" s="8" t="n">
        <x:f>I133*E133</x:f>
        <x:v>0</x:v>
      </x:c>
      <x:c r="S133" s="8" t="n">
        <x:f>O133*E133</x:f>
        <x:v>0</x:v>
      </x:c>
      <x:c r="T133" s="2" t="str">
        <x:f>IF(A133&lt;DATE(2025,12,1),"",IF(D133="Closed",0,ROUND(AVERAGEIFS('Daily inputs'!$F$2:$F$367,'Daily inputs'!$B$2:$B$367,B133,'Daily inputs'!$C$2:$C$367,C133,'Daily inputs'!$D$2:$D$367,"Training"),0)))</x:f>
      </x:c>
      <x:c r="U133" s="2" t="str">
        <x:f>IF(A133&lt;DATE(2025,12,1),"",ROUND(T133*IF(D133="Christmas",Notes!$B$9,Notes!$B$8),0))</x:f>
      </x:c>
      <x:c r="V133" s="2" t="str">
        <x:f>IF(A133&lt;DATE(2025,12,1),"",ABS(T133-F133))</x:f>
      </x:c>
      <x:c r="W133" s="2" t="str">
        <x:f>IF(A133&lt;DATE(2025,12,1),"",ABS(U133-F133))</x:f>
      </x:c>
      <x:c r="X133" s="2" t="str">
        <x:f>IF(A133&lt;DATE(2025,12,1),"",T133-F133)</x:f>
      </x:c>
      <x:c r="Y133" s="2" t="str">
        <x:f>IF(A133&lt;DATE(2025,12,1),"",U133-F133)</x:f>
      </x:c>
      <x:c r="Z133" s="2" t="n">
        <x:f>IF(N133&gt;0,1,0)</x:f>
        <x:v>0</x:v>
      </x:c>
    </x:row>
    <x:row r="134" ht="21" customHeight="1">
      <x:c r="A134" s="6" t="n">
        <x:f>'Daily inputs'!A134</x:f>
        <x:v>45984</x:v>
      </x:c>
      <x:c r="B134" s="2" t="str">
        <x:f>'Daily inputs'!B134</x:f>
        <x:v>I01</x:v>
      </x:c>
      <x:c r="C134" s="2" t="n">
        <x:f>'Daily inputs'!C134</x:f>
        <x:v>7</x:v>
      </x:c>
      <x:c r="D134" s="2" t="str">
        <x:f>'Daily inputs'!D134</x:f>
        <x:v>Training</x:v>
      </x:c>
      <x:c r="E134" s="7" t="n">
        <x:f>'Daily inputs'!E134</x:f>
        <x:v>8.5</x:v>
      </x:c>
      <x:c r="F134" s="2" t="n">
        <x:f>'Daily inputs'!F134</x:f>
        <x:v>83</x:v>
      </x:c>
      <x:c r="G134" s="2" t="n">
        <x:f>'Daily inputs'!G134</x:f>
        <x:v>14</x:v>
      </x:c>
      <x:c r="H134" s="2" t="n">
        <x:f>'Daily inputs'!H134</x:f>
        <x:v>81</x:v>
      </x:c>
      <x:c r="I134" s="2" t="n">
        <x:f>'Daily inputs'!I134</x:f>
        <x:v>0</x:v>
      </x:c>
      <x:c r="J134" s="2" t="n">
        <x:f>'Daily inputs'!J134</x:f>
        <x:v>0</x:v>
      </x:c>
      <x:c r="K134" s="2" t="n">
        <x:f>'Daily inputs'!K134</x:f>
        <x:v>0</x:v>
      </x:c>
      <x:c r="L134" s="2" t="n">
        <x:f>MIN(F134,G134+H134-I134)</x:f>
        <x:v>83</x:v>
      </x:c>
      <x:c r="M134" s="2" t="n">
        <x:f>G134+H134-L134-I134</x:f>
        <x:v>12</x:v>
      </x:c>
      <x:c r="N134" s="2" t="n">
        <x:f>F134-L134</x:f>
        <x:v>0</x:v>
      </x:c>
      <x:c r="O134" s="2" t="n">
        <x:f>N134-J134</x:f>
        <x:v>0</x:v>
      </x:c>
      <x:c r="P134" s="2" t="n">
        <x:f>L134+I134</x:f>
        <x:v>83</x:v>
      </x:c>
      <x:c r="Q134" s="8" t="n">
        <x:f>P134*E134</x:f>
        <x:v>705.5</x:v>
      </x:c>
      <x:c r="R134" s="8" t="n">
        <x:f>I134*E134</x:f>
        <x:v>0</x:v>
      </x:c>
      <x:c r="S134" s="8" t="n">
        <x:f>O134*E134</x:f>
        <x:v>0</x:v>
      </x:c>
      <x:c r="T134" s="2" t="str">
        <x:f>IF(A134&lt;DATE(2025,12,1),"",IF(D134="Closed",0,ROUND(AVERAGEIFS('Daily inputs'!$F$2:$F$367,'Daily inputs'!$B$2:$B$367,B134,'Daily inputs'!$C$2:$C$367,C134,'Daily inputs'!$D$2:$D$367,"Training"),0)))</x:f>
      </x:c>
      <x:c r="U134" s="2" t="str">
        <x:f>IF(A134&lt;DATE(2025,12,1),"",ROUND(T134*IF(D134="Christmas",Notes!$B$9,Notes!$B$8),0))</x:f>
      </x:c>
      <x:c r="V134" s="2" t="str">
        <x:f>IF(A134&lt;DATE(2025,12,1),"",ABS(T134-F134))</x:f>
      </x:c>
      <x:c r="W134" s="2" t="str">
        <x:f>IF(A134&lt;DATE(2025,12,1),"",ABS(U134-F134))</x:f>
      </x:c>
      <x:c r="X134" s="2" t="str">
        <x:f>IF(A134&lt;DATE(2025,12,1),"",T134-F134)</x:f>
      </x:c>
      <x:c r="Y134" s="2" t="str">
        <x:f>IF(A134&lt;DATE(2025,12,1),"",U134-F134)</x:f>
      </x:c>
      <x:c r="Z134" s="2" t="n">
        <x:f>IF(N134&gt;0,1,0)</x:f>
        <x:v>0</x:v>
      </x:c>
    </x:row>
    <x:row r="135" ht="21" customHeight="1">
      <x:c r="A135" s="6" t="n">
        <x:f>'Daily inputs'!A135</x:f>
        <x:v>45984</x:v>
      </x:c>
      <x:c r="B135" s="2" t="str">
        <x:f>'Daily inputs'!B135</x:f>
        <x:v>I02</x:v>
      </x:c>
      <x:c r="C135" s="2" t="n">
        <x:f>'Daily inputs'!C135</x:f>
        <x:v>7</x:v>
      </x:c>
      <x:c r="D135" s="2" t="str">
        <x:f>'Daily inputs'!D135</x:f>
        <x:v>Training</x:v>
      </x:c>
      <x:c r="E135" s="7" t="n">
        <x:f>'Daily inputs'!E135</x:f>
        <x:v>8</x:v>
      </x:c>
      <x:c r="F135" s="2" t="n">
        <x:f>'Daily inputs'!F135</x:f>
        <x:v>64</x:v>
      </x:c>
      <x:c r="G135" s="2" t="n">
        <x:f>'Daily inputs'!G135</x:f>
        <x:v>11</x:v>
      </x:c>
      <x:c r="H135" s="2" t="n">
        <x:f>'Daily inputs'!H135</x:f>
        <x:v>63</x:v>
      </x:c>
      <x:c r="I135" s="2" t="n">
        <x:f>'Daily inputs'!I135</x:f>
        <x:v>0</x:v>
      </x:c>
      <x:c r="J135" s="2" t="n">
        <x:f>'Daily inputs'!J135</x:f>
        <x:v>0</x:v>
      </x:c>
      <x:c r="K135" s="2" t="n">
        <x:f>'Daily inputs'!K135</x:f>
        <x:v>0</x:v>
      </x:c>
      <x:c r="L135" s="2" t="n">
        <x:f>MIN(F135,G135+H135-I135)</x:f>
        <x:v>64</x:v>
      </x:c>
      <x:c r="M135" s="2" t="n">
        <x:f>G135+H135-L135-I135</x:f>
        <x:v>10</x:v>
      </x:c>
      <x:c r="N135" s="2" t="n">
        <x:f>F135-L135</x:f>
        <x:v>0</x:v>
      </x:c>
      <x:c r="O135" s="2" t="n">
        <x:f>N135-J135</x:f>
        <x:v>0</x:v>
      </x:c>
      <x:c r="P135" s="2" t="n">
        <x:f>L135+I135</x:f>
        <x:v>64</x:v>
      </x:c>
      <x:c r="Q135" s="8" t="n">
        <x:f>P135*E135</x:f>
        <x:v>512</x:v>
      </x:c>
      <x:c r="R135" s="8" t="n">
        <x:f>I135*E135</x:f>
        <x:v>0</x:v>
      </x:c>
      <x:c r="S135" s="8" t="n">
        <x:f>O135*E135</x:f>
        <x:v>0</x:v>
      </x:c>
      <x:c r="T135" s="2" t="str">
        <x:f>IF(A135&lt;DATE(2025,12,1),"",IF(D135="Closed",0,ROUND(AVERAGEIFS('Daily inputs'!$F$2:$F$367,'Daily inputs'!$B$2:$B$367,B135,'Daily inputs'!$C$2:$C$367,C135,'Daily inputs'!$D$2:$D$367,"Training"),0)))</x:f>
      </x:c>
      <x:c r="U135" s="2" t="str">
        <x:f>IF(A135&lt;DATE(2025,12,1),"",ROUND(T135*IF(D135="Christmas",Notes!$B$9,Notes!$B$8),0))</x:f>
      </x:c>
      <x:c r="V135" s="2" t="str">
        <x:f>IF(A135&lt;DATE(2025,12,1),"",ABS(T135-F135))</x:f>
      </x:c>
      <x:c r="W135" s="2" t="str">
        <x:f>IF(A135&lt;DATE(2025,12,1),"",ABS(U135-F135))</x:f>
      </x:c>
      <x:c r="X135" s="2" t="str">
        <x:f>IF(A135&lt;DATE(2025,12,1),"",T135-F135)</x:f>
      </x:c>
      <x:c r="Y135" s="2" t="str">
        <x:f>IF(A135&lt;DATE(2025,12,1),"",U135-F135)</x:f>
      </x:c>
      <x:c r="Z135" s="2" t="n">
        <x:f>IF(N135&gt;0,1,0)</x:f>
        <x:v>0</x:v>
      </x:c>
    </x:row>
    <x:row r="136" ht="21" customHeight="1">
      <x:c r="A136" s="6" t="n">
        <x:f>'Daily inputs'!A136</x:f>
        <x:v>45984</x:v>
      </x:c>
      <x:c r="B136" s="2" t="str">
        <x:f>'Daily inputs'!B136</x:f>
        <x:v>I03</x:v>
      </x:c>
      <x:c r="C136" s="2" t="n">
        <x:f>'Daily inputs'!C136</x:f>
        <x:v>7</x:v>
      </x:c>
      <x:c r="D136" s="2" t="str">
        <x:f>'Daily inputs'!D136</x:f>
        <x:v>Training</x:v>
      </x:c>
      <x:c r="E136" s="7" t="n">
        <x:f>'Daily inputs'!E136</x:f>
        <x:v>7.5</x:v>
      </x:c>
      <x:c r="F136" s="2" t="n">
        <x:f>'Daily inputs'!F136</x:f>
        <x:v>37</x:v>
      </x:c>
      <x:c r="G136" s="2" t="n">
        <x:f>'Daily inputs'!G136</x:f>
        <x:v>6</x:v>
      </x:c>
      <x:c r="H136" s="2" t="n">
        <x:f>'Daily inputs'!H136</x:f>
        <x:v>37</x:v>
      </x:c>
      <x:c r="I136" s="2" t="n">
        <x:f>'Daily inputs'!I136</x:f>
        <x:v>0</x:v>
      </x:c>
      <x:c r="J136" s="2" t="n">
        <x:f>'Daily inputs'!J136</x:f>
        <x:v>0</x:v>
      </x:c>
      <x:c r="K136" s="2" t="n">
        <x:f>'Daily inputs'!K136</x:f>
        <x:v>0</x:v>
      </x:c>
      <x:c r="L136" s="2" t="n">
        <x:f>MIN(F136,G136+H136-I136)</x:f>
        <x:v>37</x:v>
      </x:c>
      <x:c r="M136" s="2" t="n">
        <x:f>G136+H136-L136-I136</x:f>
        <x:v>6</x:v>
      </x:c>
      <x:c r="N136" s="2" t="n">
        <x:f>F136-L136</x:f>
        <x:v>0</x:v>
      </x:c>
      <x:c r="O136" s="2" t="n">
        <x:f>N136-J136</x:f>
        <x:v>0</x:v>
      </x:c>
      <x:c r="P136" s="2" t="n">
        <x:f>L136+I136</x:f>
        <x:v>37</x:v>
      </x:c>
      <x:c r="Q136" s="8" t="n">
        <x:f>P136*E136</x:f>
        <x:v>277.5</x:v>
      </x:c>
      <x:c r="R136" s="8" t="n">
        <x:f>I136*E136</x:f>
        <x:v>0</x:v>
      </x:c>
      <x:c r="S136" s="8" t="n">
        <x:f>O136*E136</x:f>
        <x:v>0</x:v>
      </x:c>
      <x:c r="T136" s="2" t="str">
        <x:f>IF(A136&lt;DATE(2025,12,1),"",IF(D136="Closed",0,ROUND(AVERAGEIFS('Daily inputs'!$F$2:$F$367,'Daily inputs'!$B$2:$B$367,B136,'Daily inputs'!$C$2:$C$367,C136,'Daily inputs'!$D$2:$D$367,"Training"),0)))</x:f>
      </x:c>
      <x:c r="U136" s="2" t="str">
        <x:f>IF(A136&lt;DATE(2025,12,1),"",ROUND(T136*IF(D136="Christmas",Notes!$B$9,Notes!$B$8),0))</x:f>
      </x:c>
      <x:c r="V136" s="2" t="str">
        <x:f>IF(A136&lt;DATE(2025,12,1),"",ABS(T136-F136))</x:f>
      </x:c>
      <x:c r="W136" s="2" t="str">
        <x:f>IF(A136&lt;DATE(2025,12,1),"",ABS(U136-F136))</x:f>
      </x:c>
      <x:c r="X136" s="2" t="str">
        <x:f>IF(A136&lt;DATE(2025,12,1),"",T136-F136)</x:f>
      </x:c>
      <x:c r="Y136" s="2" t="str">
        <x:f>IF(A136&lt;DATE(2025,12,1),"",U136-F136)</x:f>
      </x:c>
      <x:c r="Z136" s="2" t="n">
        <x:f>IF(N136&gt;0,1,0)</x:f>
        <x:v>0</x:v>
      </x:c>
    </x:row>
    <x:row r="137" ht="21" customHeight="1">
      <x:c r="A137" s="6" t="n">
        <x:f>'Daily inputs'!A137</x:f>
        <x:v>45984</x:v>
      </x:c>
      <x:c r="B137" s="2" t="str">
        <x:f>'Daily inputs'!B137</x:f>
        <x:v>I04</x:v>
      </x:c>
      <x:c r="C137" s="2" t="n">
        <x:f>'Daily inputs'!C137</x:f>
        <x:v>7</x:v>
      </x:c>
      <x:c r="D137" s="2" t="str">
        <x:f>'Daily inputs'!D137</x:f>
        <x:v>Training</x:v>
      </x:c>
      <x:c r="E137" s="7" t="n">
        <x:f>'Daily inputs'!E137</x:f>
        <x:v>9</x:v>
      </x:c>
      <x:c r="F137" s="2" t="n">
        <x:f>'Daily inputs'!F137</x:f>
        <x:v>45</x:v>
      </x:c>
      <x:c r="G137" s="2" t="n">
        <x:f>'Daily inputs'!G137</x:f>
        <x:v>7</x:v>
      </x:c>
      <x:c r="H137" s="2" t="n">
        <x:f>'Daily inputs'!H137</x:f>
        <x:v>45</x:v>
      </x:c>
      <x:c r="I137" s="2" t="n">
        <x:f>'Daily inputs'!I137</x:f>
        <x:v>0</x:v>
      </x:c>
      <x:c r="J137" s="2" t="n">
        <x:f>'Daily inputs'!J137</x:f>
        <x:v>0</x:v>
      </x:c>
      <x:c r="K137" s="2" t="n">
        <x:f>'Daily inputs'!K137</x:f>
        <x:v>0</x:v>
      </x:c>
      <x:c r="L137" s="2" t="n">
        <x:f>MIN(F137,G137+H137-I137)</x:f>
        <x:v>45</x:v>
      </x:c>
      <x:c r="M137" s="2" t="n">
        <x:f>G137+H137-L137-I137</x:f>
        <x:v>7</x:v>
      </x:c>
      <x:c r="N137" s="2" t="n">
        <x:f>F137-L137</x:f>
        <x:v>0</x:v>
      </x:c>
      <x:c r="O137" s="2" t="n">
        <x:f>N137-J137</x:f>
        <x:v>0</x:v>
      </x:c>
      <x:c r="P137" s="2" t="n">
        <x:f>L137+I137</x:f>
        <x:v>45</x:v>
      </x:c>
      <x:c r="Q137" s="8" t="n">
        <x:f>P137*E137</x:f>
        <x:v>405</x:v>
      </x:c>
      <x:c r="R137" s="8" t="n">
        <x:f>I137*E137</x:f>
        <x:v>0</x:v>
      </x:c>
      <x:c r="S137" s="8" t="n">
        <x:f>O137*E137</x:f>
        <x:v>0</x:v>
      </x:c>
      <x:c r="T137" s="2" t="str">
        <x:f>IF(A137&lt;DATE(2025,12,1),"",IF(D137="Closed",0,ROUND(AVERAGEIFS('Daily inputs'!$F$2:$F$367,'Daily inputs'!$B$2:$B$367,B137,'Daily inputs'!$C$2:$C$367,C137,'Daily inputs'!$D$2:$D$367,"Training"),0)))</x:f>
      </x:c>
      <x:c r="U137" s="2" t="str">
        <x:f>IF(A137&lt;DATE(2025,12,1),"",ROUND(T137*IF(D137="Christmas",Notes!$B$9,Notes!$B$8),0))</x:f>
      </x:c>
      <x:c r="V137" s="2" t="str">
        <x:f>IF(A137&lt;DATE(2025,12,1),"",ABS(T137-F137))</x:f>
      </x:c>
      <x:c r="W137" s="2" t="str">
        <x:f>IF(A137&lt;DATE(2025,12,1),"",ABS(U137-F137))</x:f>
      </x:c>
      <x:c r="X137" s="2" t="str">
        <x:f>IF(A137&lt;DATE(2025,12,1),"",T137-F137)</x:f>
      </x:c>
      <x:c r="Y137" s="2" t="str">
        <x:f>IF(A137&lt;DATE(2025,12,1),"",U137-F137)</x:f>
      </x:c>
      <x:c r="Z137" s="2" t="n">
        <x:f>IF(N137&gt;0,1,0)</x:f>
        <x:v>0</x:v>
      </x:c>
    </x:row>
    <x:row r="138" ht="21" customHeight="1">
      <x:c r="A138" s="6" t="n">
        <x:f>'Daily inputs'!A138</x:f>
        <x:v>45984</x:v>
      </x:c>
      <x:c r="B138" s="2" t="str">
        <x:f>'Daily inputs'!B138</x:f>
        <x:v>I05</x:v>
      </x:c>
      <x:c r="C138" s="2" t="n">
        <x:f>'Daily inputs'!C138</x:f>
        <x:v>7</x:v>
      </x:c>
      <x:c r="D138" s="2" t="str">
        <x:f>'Daily inputs'!D138</x:f>
        <x:v>Training</x:v>
      </x:c>
      <x:c r="E138" s="7" t="n">
        <x:f>'Daily inputs'!E138</x:f>
        <x:v>3.5</x:v>
      </x:c>
      <x:c r="F138" s="2" t="n">
        <x:f>'Daily inputs'!F138</x:f>
        <x:v>89</x:v>
      </x:c>
      <x:c r="G138" s="2" t="n">
        <x:f>'Daily inputs'!G138</x:f>
        <x:v>16</x:v>
      </x:c>
      <x:c r="H138" s="2" t="n">
        <x:f>'Daily inputs'!H138</x:f>
        <x:v>86</x:v>
      </x:c>
      <x:c r="I138" s="2" t="n">
        <x:f>'Daily inputs'!I138</x:f>
        <x:v>0</x:v>
      </x:c>
      <x:c r="J138" s="2" t="n">
        <x:f>'Daily inputs'!J138</x:f>
        <x:v>0</x:v>
      </x:c>
      <x:c r="K138" s="2" t="n">
        <x:f>'Daily inputs'!K138</x:f>
        <x:v>0</x:v>
      </x:c>
      <x:c r="L138" s="2" t="n">
        <x:f>MIN(F138,G138+H138-I138)</x:f>
        <x:v>89</x:v>
      </x:c>
      <x:c r="M138" s="2" t="n">
        <x:f>G138+H138-L138-I138</x:f>
        <x:v>13</x:v>
      </x:c>
      <x:c r="N138" s="2" t="n">
        <x:f>F138-L138</x:f>
        <x:v>0</x:v>
      </x:c>
      <x:c r="O138" s="2" t="n">
        <x:f>N138-J138</x:f>
        <x:v>0</x:v>
      </x:c>
      <x:c r="P138" s="2" t="n">
        <x:f>L138+I138</x:f>
        <x:v>89</x:v>
      </x:c>
      <x:c r="Q138" s="8" t="n">
        <x:f>P138*E138</x:f>
        <x:v>311.5</x:v>
      </x:c>
      <x:c r="R138" s="8" t="n">
        <x:f>I138*E138</x:f>
        <x:v>0</x:v>
      </x:c>
      <x:c r="S138" s="8" t="n">
        <x:f>O138*E138</x:f>
        <x:v>0</x:v>
      </x:c>
      <x:c r="T138" s="2" t="str">
        <x:f>IF(A138&lt;DATE(2025,12,1),"",IF(D138="Closed",0,ROUND(AVERAGEIFS('Daily inputs'!$F$2:$F$367,'Daily inputs'!$B$2:$B$367,B138,'Daily inputs'!$C$2:$C$367,C138,'Daily inputs'!$D$2:$D$367,"Training"),0)))</x:f>
      </x:c>
      <x:c r="U138" s="2" t="str">
        <x:f>IF(A138&lt;DATE(2025,12,1),"",ROUND(T138*IF(D138="Christmas",Notes!$B$9,Notes!$B$8),0))</x:f>
      </x:c>
      <x:c r="V138" s="2" t="str">
        <x:f>IF(A138&lt;DATE(2025,12,1),"",ABS(T138-F138))</x:f>
      </x:c>
      <x:c r="W138" s="2" t="str">
        <x:f>IF(A138&lt;DATE(2025,12,1),"",ABS(U138-F138))</x:f>
      </x:c>
      <x:c r="X138" s="2" t="str">
        <x:f>IF(A138&lt;DATE(2025,12,1),"",T138-F138)</x:f>
      </x:c>
      <x:c r="Y138" s="2" t="str">
        <x:f>IF(A138&lt;DATE(2025,12,1),"",U138-F138)</x:f>
      </x:c>
      <x:c r="Z138" s="2" t="n">
        <x:f>IF(N138&gt;0,1,0)</x:f>
        <x:v>0</x:v>
      </x:c>
    </x:row>
    <x:row r="139" ht="21" customHeight="1">
      <x:c r="A139" s="6" t="n">
        <x:f>'Daily inputs'!A139</x:f>
        <x:v>45984</x:v>
      </x:c>
      <x:c r="B139" s="2" t="str">
        <x:f>'Daily inputs'!B139</x:f>
        <x:v>I06</x:v>
      </x:c>
      <x:c r="C139" s="2" t="n">
        <x:f>'Daily inputs'!C139</x:f>
        <x:v>7</x:v>
      </x:c>
      <x:c r="D139" s="2" t="str">
        <x:f>'Daily inputs'!D139</x:f>
        <x:v>Training</x:v>
      </x:c>
      <x:c r="E139" s="7" t="n">
        <x:f>'Daily inputs'!E139</x:f>
        <x:v>3</x:v>
      </x:c>
      <x:c r="F139" s="2" t="n">
        <x:f>'Daily inputs'!F139</x:f>
        <x:v>34</x:v>
      </x:c>
      <x:c r="G139" s="2" t="n">
        <x:f>'Daily inputs'!G139</x:f>
        <x:v>6</x:v>
      </x:c>
      <x:c r="H139" s="2" t="n">
        <x:f>'Daily inputs'!H139</x:f>
        <x:v>33</x:v>
      </x:c>
      <x:c r="I139" s="2" t="n">
        <x:f>'Daily inputs'!I139</x:f>
        <x:v>0</x:v>
      </x:c>
      <x:c r="J139" s="2" t="n">
        <x:f>'Daily inputs'!J139</x:f>
        <x:v>0</x:v>
      </x:c>
      <x:c r="K139" s="2" t="n">
        <x:f>'Daily inputs'!K139</x:f>
        <x:v>0</x:v>
      </x:c>
      <x:c r="L139" s="2" t="n">
        <x:f>MIN(F139,G139+H139-I139)</x:f>
        <x:v>34</x:v>
      </x:c>
      <x:c r="M139" s="2" t="n">
        <x:f>G139+H139-L139-I139</x:f>
        <x:v>5</x:v>
      </x:c>
      <x:c r="N139" s="2" t="n">
        <x:f>F139-L139</x:f>
        <x:v>0</x:v>
      </x:c>
      <x:c r="O139" s="2" t="n">
        <x:f>N139-J139</x:f>
        <x:v>0</x:v>
      </x:c>
      <x:c r="P139" s="2" t="n">
        <x:f>L139+I139</x:f>
        <x:v>34</x:v>
      </x:c>
      <x:c r="Q139" s="8" t="n">
        <x:f>P139*E139</x:f>
        <x:v>102</x:v>
      </x:c>
      <x:c r="R139" s="8" t="n">
        <x:f>I139*E139</x:f>
        <x:v>0</x:v>
      </x:c>
      <x:c r="S139" s="8" t="n">
        <x:f>O139*E139</x:f>
        <x:v>0</x:v>
      </x:c>
      <x:c r="T139" s="2" t="str">
        <x:f>IF(A139&lt;DATE(2025,12,1),"",IF(D139="Closed",0,ROUND(AVERAGEIFS('Daily inputs'!$F$2:$F$367,'Daily inputs'!$B$2:$B$367,B139,'Daily inputs'!$C$2:$C$367,C139,'Daily inputs'!$D$2:$D$367,"Training"),0)))</x:f>
      </x:c>
      <x:c r="U139" s="2" t="str">
        <x:f>IF(A139&lt;DATE(2025,12,1),"",ROUND(T139*IF(D139="Christmas",Notes!$B$9,Notes!$B$8),0))</x:f>
      </x:c>
      <x:c r="V139" s="2" t="str">
        <x:f>IF(A139&lt;DATE(2025,12,1),"",ABS(T139-F139))</x:f>
      </x:c>
      <x:c r="W139" s="2" t="str">
        <x:f>IF(A139&lt;DATE(2025,12,1),"",ABS(U139-F139))</x:f>
      </x:c>
      <x:c r="X139" s="2" t="str">
        <x:f>IF(A139&lt;DATE(2025,12,1),"",T139-F139)</x:f>
      </x:c>
      <x:c r="Y139" s="2" t="str">
        <x:f>IF(A139&lt;DATE(2025,12,1),"",U139-F139)</x:f>
      </x:c>
      <x:c r="Z139" s="2" t="n">
        <x:f>IF(N139&gt;0,1,0)</x:f>
        <x:v>0</x:v>
      </x:c>
    </x:row>
    <x:row r="140" ht="21" customHeight="1">
      <x:c r="A140" s="6" t="n">
        <x:f>'Daily inputs'!A140</x:f>
        <x:v>45985</x:v>
      </x:c>
      <x:c r="B140" s="2" t="str">
        <x:f>'Daily inputs'!B140</x:f>
        <x:v>I01</x:v>
      </x:c>
      <x:c r="C140" s="2" t="n">
        <x:f>'Daily inputs'!C140</x:f>
        <x:v>1</x:v>
      </x:c>
      <x:c r="D140" s="2" t="str">
        <x:f>'Daily inputs'!D140</x:f>
        <x:v>Training</x:v>
      </x:c>
      <x:c r="E140" s="7" t="n">
        <x:f>'Daily inputs'!E140</x:f>
        <x:v>8.5</x:v>
      </x:c>
      <x:c r="F140" s="2" t="n">
        <x:f>'Daily inputs'!F140</x:f>
        <x:v>64</x:v>
      </x:c>
      <x:c r="G140" s="2" t="n">
        <x:f>'Daily inputs'!G140</x:f>
        <x:v>12</x:v>
      </x:c>
      <x:c r="H140" s="2" t="n">
        <x:f>'Daily inputs'!H140</x:f>
        <x:v>62</x:v>
      </x:c>
      <x:c r="I140" s="2" t="n">
        <x:f>'Daily inputs'!I140</x:f>
        <x:v>0</x:v>
      </x:c>
      <x:c r="J140" s="2" t="n">
        <x:f>'Daily inputs'!J140</x:f>
        <x:v>0</x:v>
      </x:c>
      <x:c r="K140" s="2" t="n">
        <x:f>'Daily inputs'!K140</x:f>
        <x:v>0</x:v>
      </x:c>
      <x:c r="L140" s="2" t="n">
        <x:f>MIN(F140,G140+H140-I140)</x:f>
        <x:v>64</x:v>
      </x:c>
      <x:c r="M140" s="2" t="n">
        <x:f>G140+H140-L140-I140</x:f>
        <x:v>10</x:v>
      </x:c>
      <x:c r="N140" s="2" t="n">
        <x:f>F140-L140</x:f>
        <x:v>0</x:v>
      </x:c>
      <x:c r="O140" s="2" t="n">
        <x:f>N140-J140</x:f>
        <x:v>0</x:v>
      </x:c>
      <x:c r="P140" s="2" t="n">
        <x:f>L140+I140</x:f>
        <x:v>64</x:v>
      </x:c>
      <x:c r="Q140" s="8" t="n">
        <x:f>P140*E140</x:f>
        <x:v>544</x:v>
      </x:c>
      <x:c r="R140" s="8" t="n">
        <x:f>I140*E140</x:f>
        <x:v>0</x:v>
      </x:c>
      <x:c r="S140" s="8" t="n">
        <x:f>O140*E140</x:f>
        <x:v>0</x:v>
      </x:c>
      <x:c r="T140" s="2" t="str">
        <x:f>IF(A140&lt;DATE(2025,12,1),"",IF(D140="Closed",0,ROUND(AVERAGEIFS('Daily inputs'!$F$2:$F$367,'Daily inputs'!$B$2:$B$367,B140,'Daily inputs'!$C$2:$C$367,C140,'Daily inputs'!$D$2:$D$367,"Training"),0)))</x:f>
      </x:c>
      <x:c r="U140" s="2" t="str">
        <x:f>IF(A140&lt;DATE(2025,12,1),"",ROUND(T140*IF(D140="Christmas",Notes!$B$9,Notes!$B$8),0))</x:f>
      </x:c>
      <x:c r="V140" s="2" t="str">
        <x:f>IF(A140&lt;DATE(2025,12,1),"",ABS(T140-F140))</x:f>
      </x:c>
      <x:c r="W140" s="2" t="str">
        <x:f>IF(A140&lt;DATE(2025,12,1),"",ABS(U140-F140))</x:f>
      </x:c>
      <x:c r="X140" s="2" t="str">
        <x:f>IF(A140&lt;DATE(2025,12,1),"",T140-F140)</x:f>
      </x:c>
      <x:c r="Y140" s="2" t="str">
        <x:f>IF(A140&lt;DATE(2025,12,1),"",U140-F140)</x:f>
      </x:c>
      <x:c r="Z140" s="2" t="n">
        <x:f>IF(N140&gt;0,1,0)</x:f>
        <x:v>0</x:v>
      </x:c>
    </x:row>
    <x:row r="141" ht="21" customHeight="1">
      <x:c r="A141" s="6" t="n">
        <x:f>'Daily inputs'!A141</x:f>
        <x:v>45985</x:v>
      </x:c>
      <x:c r="B141" s="2" t="str">
        <x:f>'Daily inputs'!B141</x:f>
        <x:v>I02</x:v>
      </x:c>
      <x:c r="C141" s="2" t="n">
        <x:f>'Daily inputs'!C141</x:f>
        <x:v>1</x:v>
      </x:c>
      <x:c r="D141" s="2" t="str">
        <x:f>'Daily inputs'!D141</x:f>
        <x:v>Training</x:v>
      </x:c>
      <x:c r="E141" s="7" t="n">
        <x:f>'Daily inputs'!E141</x:f>
        <x:v>8</x:v>
      </x:c>
      <x:c r="F141" s="2" t="n">
        <x:f>'Daily inputs'!F141</x:f>
        <x:v>50</x:v>
      </x:c>
      <x:c r="G141" s="2" t="n">
        <x:f>'Daily inputs'!G141</x:f>
        <x:v>10</x:v>
      </x:c>
      <x:c r="H141" s="2" t="n">
        <x:f>'Daily inputs'!H141</x:f>
        <x:v>47</x:v>
      </x:c>
      <x:c r="I141" s="2" t="n">
        <x:f>'Daily inputs'!I141</x:f>
        <x:v>0</x:v>
      </x:c>
      <x:c r="J141" s="2" t="n">
        <x:f>'Daily inputs'!J141</x:f>
        <x:v>0</x:v>
      </x:c>
      <x:c r="K141" s="2" t="n">
        <x:f>'Daily inputs'!K141</x:f>
        <x:v>0</x:v>
      </x:c>
      <x:c r="L141" s="2" t="n">
        <x:f>MIN(F141,G141+H141-I141)</x:f>
        <x:v>50</x:v>
      </x:c>
      <x:c r="M141" s="2" t="n">
        <x:f>G141+H141-L141-I141</x:f>
        <x:v>7</x:v>
      </x:c>
      <x:c r="N141" s="2" t="n">
        <x:f>F141-L141</x:f>
        <x:v>0</x:v>
      </x:c>
      <x:c r="O141" s="2" t="n">
        <x:f>N141-J141</x:f>
        <x:v>0</x:v>
      </x:c>
      <x:c r="P141" s="2" t="n">
        <x:f>L141+I141</x:f>
        <x:v>50</x:v>
      </x:c>
      <x:c r="Q141" s="8" t="n">
        <x:f>P141*E141</x:f>
        <x:v>400</x:v>
      </x:c>
      <x:c r="R141" s="8" t="n">
        <x:f>I141*E141</x:f>
        <x:v>0</x:v>
      </x:c>
      <x:c r="S141" s="8" t="n">
        <x:f>O141*E141</x:f>
        <x:v>0</x:v>
      </x:c>
      <x:c r="T141" s="2" t="str">
        <x:f>IF(A141&lt;DATE(2025,12,1),"",IF(D141="Closed",0,ROUND(AVERAGEIFS('Daily inputs'!$F$2:$F$367,'Daily inputs'!$B$2:$B$367,B141,'Daily inputs'!$C$2:$C$367,C141,'Daily inputs'!$D$2:$D$367,"Training"),0)))</x:f>
      </x:c>
      <x:c r="U141" s="2" t="str">
        <x:f>IF(A141&lt;DATE(2025,12,1),"",ROUND(T141*IF(D141="Christmas",Notes!$B$9,Notes!$B$8),0))</x:f>
      </x:c>
      <x:c r="V141" s="2" t="str">
        <x:f>IF(A141&lt;DATE(2025,12,1),"",ABS(T141-F141))</x:f>
      </x:c>
      <x:c r="W141" s="2" t="str">
        <x:f>IF(A141&lt;DATE(2025,12,1),"",ABS(U141-F141))</x:f>
      </x:c>
      <x:c r="X141" s="2" t="str">
        <x:f>IF(A141&lt;DATE(2025,12,1),"",T141-F141)</x:f>
      </x:c>
      <x:c r="Y141" s="2" t="str">
        <x:f>IF(A141&lt;DATE(2025,12,1),"",U141-F141)</x:f>
      </x:c>
      <x:c r="Z141" s="2" t="n">
        <x:f>IF(N141&gt;0,1,0)</x:f>
        <x:v>0</x:v>
      </x:c>
    </x:row>
    <x:row r="142" ht="21" customHeight="1">
      <x:c r="A142" s="6" t="n">
        <x:f>'Daily inputs'!A142</x:f>
        <x:v>45985</x:v>
      </x:c>
      <x:c r="B142" s="2" t="str">
        <x:f>'Daily inputs'!B142</x:f>
        <x:v>I03</x:v>
      </x:c>
      <x:c r="C142" s="2" t="n">
        <x:f>'Daily inputs'!C142</x:f>
        <x:v>1</x:v>
      </x:c>
      <x:c r="D142" s="2" t="str">
        <x:f>'Daily inputs'!D142</x:f>
        <x:v>Training</x:v>
      </x:c>
      <x:c r="E142" s="7" t="n">
        <x:f>'Daily inputs'!E142</x:f>
        <x:v>7.5</x:v>
      </x:c>
      <x:c r="F142" s="2" t="n">
        <x:f>'Daily inputs'!F142</x:f>
        <x:v>28</x:v>
      </x:c>
      <x:c r="G142" s="2" t="n">
        <x:f>'Daily inputs'!G142</x:f>
        <x:v>6</x:v>
      </x:c>
      <x:c r="H142" s="2" t="n">
        <x:f>'Daily inputs'!H142</x:f>
        <x:v>26</x:v>
      </x:c>
      <x:c r="I142" s="2" t="n">
        <x:f>'Daily inputs'!I142</x:f>
        <x:v>0</x:v>
      </x:c>
      <x:c r="J142" s="2" t="n">
        <x:f>'Daily inputs'!J142</x:f>
        <x:v>0</x:v>
      </x:c>
      <x:c r="K142" s="2" t="n">
        <x:f>'Daily inputs'!K142</x:f>
        <x:v>0</x:v>
      </x:c>
      <x:c r="L142" s="2" t="n">
        <x:f>MIN(F142,G142+H142-I142)</x:f>
        <x:v>28</x:v>
      </x:c>
      <x:c r="M142" s="2" t="n">
        <x:f>G142+H142-L142-I142</x:f>
        <x:v>4</x:v>
      </x:c>
      <x:c r="N142" s="2" t="n">
        <x:f>F142-L142</x:f>
        <x:v>0</x:v>
      </x:c>
      <x:c r="O142" s="2" t="n">
        <x:f>N142-J142</x:f>
        <x:v>0</x:v>
      </x:c>
      <x:c r="P142" s="2" t="n">
        <x:f>L142+I142</x:f>
        <x:v>28</x:v>
      </x:c>
      <x:c r="Q142" s="8" t="n">
        <x:f>P142*E142</x:f>
        <x:v>210</x:v>
      </x:c>
      <x:c r="R142" s="8" t="n">
        <x:f>I142*E142</x:f>
        <x:v>0</x:v>
      </x:c>
      <x:c r="S142" s="8" t="n">
        <x:f>O142*E142</x:f>
        <x:v>0</x:v>
      </x:c>
      <x:c r="T142" s="2" t="str">
        <x:f>IF(A142&lt;DATE(2025,12,1),"",IF(D142="Closed",0,ROUND(AVERAGEIFS('Daily inputs'!$F$2:$F$367,'Daily inputs'!$B$2:$B$367,B142,'Daily inputs'!$C$2:$C$367,C142,'Daily inputs'!$D$2:$D$367,"Training"),0)))</x:f>
      </x:c>
      <x:c r="U142" s="2" t="str">
        <x:f>IF(A142&lt;DATE(2025,12,1),"",ROUND(T142*IF(D142="Christmas",Notes!$B$9,Notes!$B$8),0))</x:f>
      </x:c>
      <x:c r="V142" s="2" t="str">
        <x:f>IF(A142&lt;DATE(2025,12,1),"",ABS(T142-F142))</x:f>
      </x:c>
      <x:c r="W142" s="2" t="str">
        <x:f>IF(A142&lt;DATE(2025,12,1),"",ABS(U142-F142))</x:f>
      </x:c>
      <x:c r="X142" s="2" t="str">
        <x:f>IF(A142&lt;DATE(2025,12,1),"",T142-F142)</x:f>
      </x:c>
      <x:c r="Y142" s="2" t="str">
        <x:f>IF(A142&lt;DATE(2025,12,1),"",U142-F142)</x:f>
      </x:c>
      <x:c r="Z142" s="2" t="n">
        <x:f>IF(N142&gt;0,1,0)</x:f>
        <x:v>0</x:v>
      </x:c>
    </x:row>
    <x:row r="143" ht="21" customHeight="1">
      <x:c r="A143" s="6" t="n">
        <x:f>'Daily inputs'!A143</x:f>
        <x:v>45985</x:v>
      </x:c>
      <x:c r="B143" s="2" t="str">
        <x:f>'Daily inputs'!B143</x:f>
        <x:v>I04</x:v>
      </x:c>
      <x:c r="C143" s="2" t="n">
        <x:f>'Daily inputs'!C143</x:f>
        <x:v>1</x:v>
      </x:c>
      <x:c r="D143" s="2" t="str">
        <x:f>'Daily inputs'!D143</x:f>
        <x:v>Training</x:v>
      </x:c>
      <x:c r="E143" s="7" t="n">
        <x:f>'Daily inputs'!E143</x:f>
        <x:v>9</x:v>
      </x:c>
      <x:c r="F143" s="2" t="n">
        <x:f>'Daily inputs'!F143</x:f>
        <x:v>34</x:v>
      </x:c>
      <x:c r="G143" s="2" t="n">
        <x:f>'Daily inputs'!G143</x:f>
        <x:v>7</x:v>
      </x:c>
      <x:c r="H143" s="2" t="n">
        <x:f>'Daily inputs'!H143</x:f>
        <x:v>32</x:v>
      </x:c>
      <x:c r="I143" s="2" t="n">
        <x:f>'Daily inputs'!I143</x:f>
        <x:v>0</x:v>
      </x:c>
      <x:c r="J143" s="2" t="n">
        <x:f>'Daily inputs'!J143</x:f>
        <x:v>0</x:v>
      </x:c>
      <x:c r="K143" s="2" t="n">
        <x:f>'Daily inputs'!K143</x:f>
        <x:v>0</x:v>
      </x:c>
      <x:c r="L143" s="2" t="n">
        <x:f>MIN(F143,G143+H143-I143)</x:f>
        <x:v>34</x:v>
      </x:c>
      <x:c r="M143" s="2" t="n">
        <x:f>G143+H143-L143-I143</x:f>
        <x:v>5</x:v>
      </x:c>
      <x:c r="N143" s="2" t="n">
        <x:f>F143-L143</x:f>
        <x:v>0</x:v>
      </x:c>
      <x:c r="O143" s="2" t="n">
        <x:f>N143-J143</x:f>
        <x:v>0</x:v>
      </x:c>
      <x:c r="P143" s="2" t="n">
        <x:f>L143+I143</x:f>
        <x:v>34</x:v>
      </x:c>
      <x:c r="Q143" s="8" t="n">
        <x:f>P143*E143</x:f>
        <x:v>306</x:v>
      </x:c>
      <x:c r="R143" s="8" t="n">
        <x:f>I143*E143</x:f>
        <x:v>0</x:v>
      </x:c>
      <x:c r="S143" s="8" t="n">
        <x:f>O143*E143</x:f>
        <x:v>0</x:v>
      </x:c>
      <x:c r="T143" s="2" t="str">
        <x:f>IF(A143&lt;DATE(2025,12,1),"",IF(D143="Closed",0,ROUND(AVERAGEIFS('Daily inputs'!$F$2:$F$367,'Daily inputs'!$B$2:$B$367,B143,'Daily inputs'!$C$2:$C$367,C143,'Daily inputs'!$D$2:$D$367,"Training"),0)))</x:f>
      </x:c>
      <x:c r="U143" s="2" t="str">
        <x:f>IF(A143&lt;DATE(2025,12,1),"",ROUND(T143*IF(D143="Christmas",Notes!$B$9,Notes!$B$8),0))</x:f>
      </x:c>
      <x:c r="V143" s="2" t="str">
        <x:f>IF(A143&lt;DATE(2025,12,1),"",ABS(T143-F143))</x:f>
      </x:c>
      <x:c r="W143" s="2" t="str">
        <x:f>IF(A143&lt;DATE(2025,12,1),"",ABS(U143-F143))</x:f>
      </x:c>
      <x:c r="X143" s="2" t="str">
        <x:f>IF(A143&lt;DATE(2025,12,1),"",T143-F143)</x:f>
      </x:c>
      <x:c r="Y143" s="2" t="str">
        <x:f>IF(A143&lt;DATE(2025,12,1),"",U143-F143)</x:f>
      </x:c>
      <x:c r="Z143" s="2" t="n">
        <x:f>IF(N143&gt;0,1,0)</x:f>
        <x:v>0</x:v>
      </x:c>
    </x:row>
    <x:row r="144" ht="21" customHeight="1">
      <x:c r="A144" s="6" t="n">
        <x:f>'Daily inputs'!A144</x:f>
        <x:v>45985</x:v>
      </x:c>
      <x:c r="B144" s="2" t="str">
        <x:f>'Daily inputs'!B144</x:f>
        <x:v>I05</x:v>
      </x:c>
      <x:c r="C144" s="2" t="n">
        <x:f>'Daily inputs'!C144</x:f>
        <x:v>1</x:v>
      </x:c>
      <x:c r="D144" s="2" t="str">
        <x:f>'Daily inputs'!D144</x:f>
        <x:v>Training</x:v>
      </x:c>
      <x:c r="E144" s="7" t="n">
        <x:f>'Daily inputs'!E144</x:f>
        <x:v>3.5</x:v>
      </x:c>
      <x:c r="F144" s="2" t="n">
        <x:f>'Daily inputs'!F144</x:f>
        <x:v>66</x:v>
      </x:c>
      <x:c r="G144" s="2" t="n">
        <x:f>'Daily inputs'!G144</x:f>
        <x:v>13</x:v>
      </x:c>
      <x:c r="H144" s="2" t="n">
        <x:f>'Daily inputs'!H144</x:f>
        <x:v>63</x:v>
      </x:c>
      <x:c r="I144" s="2" t="n">
        <x:f>'Daily inputs'!I144</x:f>
        <x:v>0</x:v>
      </x:c>
      <x:c r="J144" s="2" t="n">
        <x:f>'Daily inputs'!J144</x:f>
        <x:v>0</x:v>
      </x:c>
      <x:c r="K144" s="2" t="n">
        <x:f>'Daily inputs'!K144</x:f>
        <x:v>0</x:v>
      </x:c>
      <x:c r="L144" s="2" t="n">
        <x:f>MIN(F144,G144+H144-I144)</x:f>
        <x:v>66</x:v>
      </x:c>
      <x:c r="M144" s="2" t="n">
        <x:f>G144+H144-L144-I144</x:f>
        <x:v>10</x:v>
      </x:c>
      <x:c r="N144" s="2" t="n">
        <x:f>F144-L144</x:f>
        <x:v>0</x:v>
      </x:c>
      <x:c r="O144" s="2" t="n">
        <x:f>N144-J144</x:f>
        <x:v>0</x:v>
      </x:c>
      <x:c r="P144" s="2" t="n">
        <x:f>L144+I144</x:f>
        <x:v>66</x:v>
      </x:c>
      <x:c r="Q144" s="8" t="n">
        <x:f>P144*E144</x:f>
        <x:v>231</x:v>
      </x:c>
      <x:c r="R144" s="8" t="n">
        <x:f>I144*E144</x:f>
        <x:v>0</x:v>
      </x:c>
      <x:c r="S144" s="8" t="n">
        <x:f>O144*E144</x:f>
        <x:v>0</x:v>
      </x:c>
      <x:c r="T144" s="2" t="str">
        <x:f>IF(A144&lt;DATE(2025,12,1),"",IF(D144="Closed",0,ROUND(AVERAGEIFS('Daily inputs'!$F$2:$F$367,'Daily inputs'!$B$2:$B$367,B144,'Daily inputs'!$C$2:$C$367,C144,'Daily inputs'!$D$2:$D$367,"Training"),0)))</x:f>
      </x:c>
      <x:c r="U144" s="2" t="str">
        <x:f>IF(A144&lt;DATE(2025,12,1),"",ROUND(T144*IF(D144="Christmas",Notes!$B$9,Notes!$B$8),0))</x:f>
      </x:c>
      <x:c r="V144" s="2" t="str">
        <x:f>IF(A144&lt;DATE(2025,12,1),"",ABS(T144-F144))</x:f>
      </x:c>
      <x:c r="W144" s="2" t="str">
        <x:f>IF(A144&lt;DATE(2025,12,1),"",ABS(U144-F144))</x:f>
      </x:c>
      <x:c r="X144" s="2" t="str">
        <x:f>IF(A144&lt;DATE(2025,12,1),"",T144-F144)</x:f>
      </x:c>
      <x:c r="Y144" s="2" t="str">
        <x:f>IF(A144&lt;DATE(2025,12,1),"",U144-F144)</x:f>
      </x:c>
      <x:c r="Z144" s="2" t="n">
        <x:f>IF(N144&gt;0,1,0)</x:f>
        <x:v>0</x:v>
      </x:c>
    </x:row>
    <x:row r="145" ht="21" customHeight="1">
      <x:c r="A145" s="6" t="n">
        <x:f>'Daily inputs'!A145</x:f>
        <x:v>45985</x:v>
      </x:c>
      <x:c r="B145" s="2" t="str">
        <x:f>'Daily inputs'!B145</x:f>
        <x:v>I06</x:v>
      </x:c>
      <x:c r="C145" s="2" t="n">
        <x:f>'Daily inputs'!C145</x:f>
        <x:v>1</x:v>
      </x:c>
      <x:c r="D145" s="2" t="str">
        <x:f>'Daily inputs'!D145</x:f>
        <x:v>Training</x:v>
      </x:c>
      <x:c r="E145" s="7" t="n">
        <x:f>'Daily inputs'!E145</x:f>
        <x:v>3</x:v>
      </x:c>
      <x:c r="F145" s="2" t="n">
        <x:f>'Daily inputs'!F145</x:f>
        <x:v>26</x:v>
      </x:c>
      <x:c r="G145" s="2" t="n">
        <x:f>'Daily inputs'!G145</x:f>
        <x:v>5</x:v>
      </x:c>
      <x:c r="H145" s="2" t="n">
        <x:f>'Daily inputs'!H145</x:f>
        <x:v>25</x:v>
      </x:c>
      <x:c r="I145" s="2" t="n">
        <x:f>'Daily inputs'!I145</x:f>
        <x:v>0</x:v>
      </x:c>
      <x:c r="J145" s="2" t="n">
        <x:f>'Daily inputs'!J145</x:f>
        <x:v>0</x:v>
      </x:c>
      <x:c r="K145" s="2" t="n">
        <x:f>'Daily inputs'!K145</x:f>
        <x:v>0</x:v>
      </x:c>
      <x:c r="L145" s="2" t="n">
        <x:f>MIN(F145,G145+H145-I145)</x:f>
        <x:v>26</x:v>
      </x:c>
      <x:c r="M145" s="2" t="n">
        <x:f>G145+H145-L145-I145</x:f>
        <x:v>4</x:v>
      </x:c>
      <x:c r="N145" s="2" t="n">
        <x:f>F145-L145</x:f>
        <x:v>0</x:v>
      </x:c>
      <x:c r="O145" s="2" t="n">
        <x:f>N145-J145</x:f>
        <x:v>0</x:v>
      </x:c>
      <x:c r="P145" s="2" t="n">
        <x:f>L145+I145</x:f>
        <x:v>26</x:v>
      </x:c>
      <x:c r="Q145" s="8" t="n">
        <x:f>P145*E145</x:f>
        <x:v>78</x:v>
      </x:c>
      <x:c r="R145" s="8" t="n">
        <x:f>I145*E145</x:f>
        <x:v>0</x:v>
      </x:c>
      <x:c r="S145" s="8" t="n">
        <x:f>O145*E145</x:f>
        <x:v>0</x:v>
      </x:c>
      <x:c r="T145" s="2" t="str">
        <x:f>IF(A145&lt;DATE(2025,12,1),"",IF(D145="Closed",0,ROUND(AVERAGEIFS('Daily inputs'!$F$2:$F$367,'Daily inputs'!$B$2:$B$367,B145,'Daily inputs'!$C$2:$C$367,C145,'Daily inputs'!$D$2:$D$367,"Training"),0)))</x:f>
      </x:c>
      <x:c r="U145" s="2" t="str">
        <x:f>IF(A145&lt;DATE(2025,12,1),"",ROUND(T145*IF(D145="Christmas",Notes!$B$9,Notes!$B$8),0))</x:f>
      </x:c>
      <x:c r="V145" s="2" t="str">
        <x:f>IF(A145&lt;DATE(2025,12,1),"",ABS(T145-F145))</x:f>
      </x:c>
      <x:c r="W145" s="2" t="str">
        <x:f>IF(A145&lt;DATE(2025,12,1),"",ABS(U145-F145))</x:f>
      </x:c>
      <x:c r="X145" s="2" t="str">
        <x:f>IF(A145&lt;DATE(2025,12,1),"",T145-F145)</x:f>
      </x:c>
      <x:c r="Y145" s="2" t="str">
        <x:f>IF(A145&lt;DATE(2025,12,1),"",U145-F145)</x:f>
      </x:c>
      <x:c r="Z145" s="2" t="n">
        <x:f>IF(N145&gt;0,1,0)</x:f>
        <x:v>0</x:v>
      </x:c>
    </x:row>
    <x:row r="146" ht="21" customHeight="1">
      <x:c r="A146" s="6" t="n">
        <x:f>'Daily inputs'!A146</x:f>
        <x:v>45986</x:v>
      </x:c>
      <x:c r="B146" s="2" t="str">
        <x:f>'Daily inputs'!B146</x:f>
        <x:v>I01</x:v>
      </x:c>
      <x:c r="C146" s="2" t="n">
        <x:f>'Daily inputs'!C146</x:f>
        <x:v>2</x:v>
      </x:c>
      <x:c r="D146" s="2" t="str">
        <x:f>'Daily inputs'!D146</x:f>
        <x:v>Training</x:v>
      </x:c>
      <x:c r="E146" s="7" t="n">
        <x:f>'Daily inputs'!E146</x:f>
        <x:v>8.5</x:v>
      </x:c>
      <x:c r="F146" s="2" t="n">
        <x:f>'Daily inputs'!F146</x:f>
        <x:v>63</x:v>
      </x:c>
      <x:c r="G146" s="2" t="n">
        <x:f>'Daily inputs'!G146</x:f>
        <x:v>10</x:v>
      </x:c>
      <x:c r="H146" s="2" t="n">
        <x:f>'Daily inputs'!H146</x:f>
        <x:v>62</x:v>
      </x:c>
      <x:c r="I146" s="2" t="n">
        <x:f>'Daily inputs'!I146</x:f>
        <x:v>0</x:v>
      </x:c>
      <x:c r="J146" s="2" t="n">
        <x:f>'Daily inputs'!J146</x:f>
        <x:v>0</x:v>
      </x:c>
      <x:c r="K146" s="2" t="n">
        <x:f>'Daily inputs'!K146</x:f>
        <x:v>0</x:v>
      </x:c>
      <x:c r="L146" s="2" t="n">
        <x:f>MIN(F146,G146+H146-I146)</x:f>
        <x:v>63</x:v>
      </x:c>
      <x:c r="M146" s="2" t="n">
        <x:f>G146+H146-L146-I146</x:f>
        <x:v>9</x:v>
      </x:c>
      <x:c r="N146" s="2" t="n">
        <x:f>F146-L146</x:f>
        <x:v>0</x:v>
      </x:c>
      <x:c r="O146" s="2" t="n">
        <x:f>N146-J146</x:f>
        <x:v>0</x:v>
      </x:c>
      <x:c r="P146" s="2" t="n">
        <x:f>L146+I146</x:f>
        <x:v>63</x:v>
      </x:c>
      <x:c r="Q146" s="8" t="n">
        <x:f>P146*E146</x:f>
        <x:v>535.5</x:v>
      </x:c>
      <x:c r="R146" s="8" t="n">
        <x:f>I146*E146</x:f>
        <x:v>0</x:v>
      </x:c>
      <x:c r="S146" s="8" t="n">
        <x:f>O146*E146</x:f>
        <x:v>0</x:v>
      </x:c>
      <x:c r="T146" s="2" t="str">
        <x:f>IF(A146&lt;DATE(2025,12,1),"",IF(D146="Closed",0,ROUND(AVERAGEIFS('Daily inputs'!$F$2:$F$367,'Daily inputs'!$B$2:$B$367,B146,'Daily inputs'!$C$2:$C$367,C146,'Daily inputs'!$D$2:$D$367,"Training"),0)))</x:f>
      </x:c>
      <x:c r="U146" s="2" t="str">
        <x:f>IF(A146&lt;DATE(2025,12,1),"",ROUND(T146*IF(D146="Christmas",Notes!$B$9,Notes!$B$8),0))</x:f>
      </x:c>
      <x:c r="V146" s="2" t="str">
        <x:f>IF(A146&lt;DATE(2025,12,1),"",ABS(T146-F146))</x:f>
      </x:c>
      <x:c r="W146" s="2" t="str">
        <x:f>IF(A146&lt;DATE(2025,12,1),"",ABS(U146-F146))</x:f>
      </x:c>
      <x:c r="X146" s="2" t="str">
        <x:f>IF(A146&lt;DATE(2025,12,1),"",T146-F146)</x:f>
      </x:c>
      <x:c r="Y146" s="2" t="str">
        <x:f>IF(A146&lt;DATE(2025,12,1),"",U146-F146)</x:f>
      </x:c>
      <x:c r="Z146" s="2" t="n">
        <x:f>IF(N146&gt;0,1,0)</x:f>
        <x:v>0</x:v>
      </x:c>
    </x:row>
    <x:row r="147" ht="21" customHeight="1">
      <x:c r="A147" s="6" t="n">
        <x:f>'Daily inputs'!A147</x:f>
        <x:v>45986</x:v>
      </x:c>
      <x:c r="B147" s="2" t="str">
        <x:f>'Daily inputs'!B147</x:f>
        <x:v>I02</x:v>
      </x:c>
      <x:c r="C147" s="2" t="n">
        <x:f>'Daily inputs'!C147</x:f>
        <x:v>2</x:v>
      </x:c>
      <x:c r="D147" s="2" t="str">
        <x:f>'Daily inputs'!D147</x:f>
        <x:v>Training</x:v>
      </x:c>
      <x:c r="E147" s="7" t="n">
        <x:f>'Daily inputs'!E147</x:f>
        <x:v>8</x:v>
      </x:c>
      <x:c r="F147" s="2" t="n">
        <x:f>'Daily inputs'!F147</x:f>
        <x:v>54</x:v>
      </x:c>
      <x:c r="G147" s="2" t="n">
        <x:f>'Daily inputs'!G147</x:f>
        <x:v>7</x:v>
      </x:c>
      <x:c r="H147" s="2" t="n">
        <x:f>'Daily inputs'!H147</x:f>
        <x:v>55</x:v>
      </x:c>
      <x:c r="I147" s="2" t="n">
        <x:f>'Daily inputs'!I147</x:f>
        <x:v>0</x:v>
      </x:c>
      <x:c r="J147" s="2" t="n">
        <x:f>'Daily inputs'!J147</x:f>
        <x:v>0</x:v>
      </x:c>
      <x:c r="K147" s="2" t="n">
        <x:f>'Daily inputs'!K147</x:f>
        <x:v>0</x:v>
      </x:c>
      <x:c r="L147" s="2" t="n">
        <x:f>MIN(F147,G147+H147-I147)</x:f>
        <x:v>54</x:v>
      </x:c>
      <x:c r="M147" s="2" t="n">
        <x:f>G147+H147-L147-I147</x:f>
        <x:v>8</x:v>
      </x:c>
      <x:c r="N147" s="2" t="n">
        <x:f>F147-L147</x:f>
        <x:v>0</x:v>
      </x:c>
      <x:c r="O147" s="2" t="n">
        <x:f>N147-J147</x:f>
        <x:v>0</x:v>
      </x:c>
      <x:c r="P147" s="2" t="n">
        <x:f>L147+I147</x:f>
        <x:v>54</x:v>
      </x:c>
      <x:c r="Q147" s="8" t="n">
        <x:f>P147*E147</x:f>
        <x:v>432</x:v>
      </x:c>
      <x:c r="R147" s="8" t="n">
        <x:f>I147*E147</x:f>
        <x:v>0</x:v>
      </x:c>
      <x:c r="S147" s="8" t="n">
        <x:f>O147*E147</x:f>
        <x:v>0</x:v>
      </x:c>
      <x:c r="T147" s="2" t="str">
        <x:f>IF(A147&lt;DATE(2025,12,1),"",IF(D147="Closed",0,ROUND(AVERAGEIFS('Daily inputs'!$F$2:$F$367,'Daily inputs'!$B$2:$B$367,B147,'Daily inputs'!$C$2:$C$367,C147,'Daily inputs'!$D$2:$D$367,"Training"),0)))</x:f>
      </x:c>
      <x:c r="U147" s="2" t="str">
        <x:f>IF(A147&lt;DATE(2025,12,1),"",ROUND(T147*IF(D147="Christmas",Notes!$B$9,Notes!$B$8),0))</x:f>
      </x:c>
      <x:c r="V147" s="2" t="str">
        <x:f>IF(A147&lt;DATE(2025,12,1),"",ABS(T147-F147))</x:f>
      </x:c>
      <x:c r="W147" s="2" t="str">
        <x:f>IF(A147&lt;DATE(2025,12,1),"",ABS(U147-F147))</x:f>
      </x:c>
      <x:c r="X147" s="2" t="str">
        <x:f>IF(A147&lt;DATE(2025,12,1),"",T147-F147)</x:f>
      </x:c>
      <x:c r="Y147" s="2" t="str">
        <x:f>IF(A147&lt;DATE(2025,12,1),"",U147-F147)</x:f>
      </x:c>
      <x:c r="Z147" s="2" t="n">
        <x:f>IF(N147&gt;0,1,0)</x:f>
        <x:v>0</x:v>
      </x:c>
    </x:row>
    <x:row r="148" ht="21" customHeight="1">
      <x:c r="A148" s="6" t="n">
        <x:f>'Daily inputs'!A148</x:f>
        <x:v>45986</x:v>
      </x:c>
      <x:c r="B148" s="2" t="str">
        <x:f>'Daily inputs'!B148</x:f>
        <x:v>I03</x:v>
      </x:c>
      <x:c r="C148" s="2" t="n">
        <x:f>'Daily inputs'!C148</x:f>
        <x:v>2</x:v>
      </x:c>
      <x:c r="D148" s="2" t="str">
        <x:f>'Daily inputs'!D148</x:f>
        <x:v>Training</x:v>
      </x:c>
      <x:c r="E148" s="7" t="n">
        <x:f>'Daily inputs'!E148</x:f>
        <x:v>7.5</x:v>
      </x:c>
      <x:c r="F148" s="2" t="n">
        <x:f>'Daily inputs'!F148</x:f>
        <x:v>31</x:v>
      </x:c>
      <x:c r="G148" s="2" t="n">
        <x:f>'Daily inputs'!G148</x:f>
        <x:v>4</x:v>
      </x:c>
      <x:c r="H148" s="2" t="n">
        <x:f>'Daily inputs'!H148</x:f>
        <x:v>32</x:v>
      </x:c>
      <x:c r="I148" s="2" t="n">
        <x:f>'Daily inputs'!I148</x:f>
        <x:v>0</x:v>
      </x:c>
      <x:c r="J148" s="2" t="n">
        <x:f>'Daily inputs'!J148</x:f>
        <x:v>0</x:v>
      </x:c>
      <x:c r="K148" s="2" t="n">
        <x:f>'Daily inputs'!K148</x:f>
        <x:v>0</x:v>
      </x:c>
      <x:c r="L148" s="2" t="n">
        <x:f>MIN(F148,G148+H148-I148)</x:f>
        <x:v>31</x:v>
      </x:c>
      <x:c r="M148" s="2" t="n">
        <x:f>G148+H148-L148-I148</x:f>
        <x:v>5</x:v>
      </x:c>
      <x:c r="N148" s="2" t="n">
        <x:f>F148-L148</x:f>
        <x:v>0</x:v>
      </x:c>
      <x:c r="O148" s="2" t="n">
        <x:f>N148-J148</x:f>
        <x:v>0</x:v>
      </x:c>
      <x:c r="P148" s="2" t="n">
        <x:f>L148+I148</x:f>
        <x:v>31</x:v>
      </x:c>
      <x:c r="Q148" s="8" t="n">
        <x:f>P148*E148</x:f>
        <x:v>232.5</x:v>
      </x:c>
      <x:c r="R148" s="8" t="n">
        <x:f>I148*E148</x:f>
        <x:v>0</x:v>
      </x:c>
      <x:c r="S148" s="8" t="n">
        <x:f>O148*E148</x:f>
        <x:v>0</x:v>
      </x:c>
      <x:c r="T148" s="2" t="str">
        <x:f>IF(A148&lt;DATE(2025,12,1),"",IF(D148="Closed",0,ROUND(AVERAGEIFS('Daily inputs'!$F$2:$F$367,'Daily inputs'!$B$2:$B$367,B148,'Daily inputs'!$C$2:$C$367,C148,'Daily inputs'!$D$2:$D$367,"Training"),0)))</x:f>
      </x:c>
      <x:c r="U148" s="2" t="str">
        <x:f>IF(A148&lt;DATE(2025,12,1),"",ROUND(T148*IF(D148="Christmas",Notes!$B$9,Notes!$B$8),0))</x:f>
      </x:c>
      <x:c r="V148" s="2" t="str">
        <x:f>IF(A148&lt;DATE(2025,12,1),"",ABS(T148-F148))</x:f>
      </x:c>
      <x:c r="W148" s="2" t="str">
        <x:f>IF(A148&lt;DATE(2025,12,1),"",ABS(U148-F148))</x:f>
      </x:c>
      <x:c r="X148" s="2" t="str">
        <x:f>IF(A148&lt;DATE(2025,12,1),"",T148-F148)</x:f>
      </x:c>
      <x:c r="Y148" s="2" t="str">
        <x:f>IF(A148&lt;DATE(2025,12,1),"",U148-F148)</x:f>
      </x:c>
      <x:c r="Z148" s="2" t="n">
        <x:f>IF(N148&gt;0,1,0)</x:f>
        <x:v>0</x:v>
      </x:c>
    </x:row>
    <x:row r="149" ht="21" customHeight="1">
      <x:c r="A149" s="6" t="n">
        <x:f>'Daily inputs'!A149</x:f>
        <x:v>45986</x:v>
      </x:c>
      <x:c r="B149" s="2" t="str">
        <x:f>'Daily inputs'!B149</x:f>
        <x:v>I04</x:v>
      </x:c>
      <x:c r="C149" s="2" t="n">
        <x:f>'Daily inputs'!C149</x:f>
        <x:v>2</x:v>
      </x:c>
      <x:c r="D149" s="2" t="str">
        <x:f>'Daily inputs'!D149</x:f>
        <x:v>Training</x:v>
      </x:c>
      <x:c r="E149" s="7" t="n">
        <x:f>'Daily inputs'!E149</x:f>
        <x:v>9</x:v>
      </x:c>
      <x:c r="F149" s="2" t="n">
        <x:f>'Daily inputs'!F149</x:f>
        <x:v>37</x:v>
      </x:c>
      <x:c r="G149" s="2" t="n">
        <x:f>'Daily inputs'!G149</x:f>
        <x:v>5</x:v>
      </x:c>
      <x:c r="H149" s="2" t="n">
        <x:f>'Daily inputs'!H149</x:f>
        <x:v>38</x:v>
      </x:c>
      <x:c r="I149" s="2" t="n">
        <x:f>'Daily inputs'!I149</x:f>
        <x:v>0</x:v>
      </x:c>
      <x:c r="J149" s="2" t="n">
        <x:f>'Daily inputs'!J149</x:f>
        <x:v>0</x:v>
      </x:c>
      <x:c r="K149" s="2" t="n">
        <x:f>'Daily inputs'!K149</x:f>
        <x:v>0</x:v>
      </x:c>
      <x:c r="L149" s="2" t="n">
        <x:f>MIN(F149,G149+H149-I149)</x:f>
        <x:v>37</x:v>
      </x:c>
      <x:c r="M149" s="2" t="n">
        <x:f>G149+H149-L149-I149</x:f>
        <x:v>6</x:v>
      </x:c>
      <x:c r="N149" s="2" t="n">
        <x:f>F149-L149</x:f>
        <x:v>0</x:v>
      </x:c>
      <x:c r="O149" s="2" t="n">
        <x:f>N149-J149</x:f>
        <x:v>0</x:v>
      </x:c>
      <x:c r="P149" s="2" t="n">
        <x:f>L149+I149</x:f>
        <x:v>37</x:v>
      </x:c>
      <x:c r="Q149" s="8" t="n">
        <x:f>P149*E149</x:f>
        <x:v>333</x:v>
      </x:c>
      <x:c r="R149" s="8" t="n">
        <x:f>I149*E149</x:f>
        <x:v>0</x:v>
      </x:c>
      <x:c r="S149" s="8" t="n">
        <x:f>O149*E149</x:f>
        <x:v>0</x:v>
      </x:c>
      <x:c r="T149" s="2" t="str">
        <x:f>IF(A149&lt;DATE(2025,12,1),"",IF(D149="Closed",0,ROUND(AVERAGEIFS('Daily inputs'!$F$2:$F$367,'Daily inputs'!$B$2:$B$367,B149,'Daily inputs'!$C$2:$C$367,C149,'Daily inputs'!$D$2:$D$367,"Training"),0)))</x:f>
      </x:c>
      <x:c r="U149" s="2" t="str">
        <x:f>IF(A149&lt;DATE(2025,12,1),"",ROUND(T149*IF(D149="Christmas",Notes!$B$9,Notes!$B$8),0))</x:f>
      </x:c>
      <x:c r="V149" s="2" t="str">
        <x:f>IF(A149&lt;DATE(2025,12,1),"",ABS(T149-F149))</x:f>
      </x:c>
      <x:c r="W149" s="2" t="str">
        <x:f>IF(A149&lt;DATE(2025,12,1),"",ABS(U149-F149))</x:f>
      </x:c>
      <x:c r="X149" s="2" t="str">
        <x:f>IF(A149&lt;DATE(2025,12,1),"",T149-F149)</x:f>
      </x:c>
      <x:c r="Y149" s="2" t="str">
        <x:f>IF(A149&lt;DATE(2025,12,1),"",U149-F149)</x:f>
      </x:c>
      <x:c r="Z149" s="2" t="n">
        <x:f>IF(N149&gt;0,1,0)</x:f>
        <x:v>0</x:v>
      </x:c>
    </x:row>
    <x:row r="150" ht="21" customHeight="1">
      <x:c r="A150" s="6" t="n">
        <x:f>'Daily inputs'!A150</x:f>
        <x:v>45986</x:v>
      </x:c>
      <x:c r="B150" s="2" t="str">
        <x:f>'Daily inputs'!B150</x:f>
        <x:v>I05</x:v>
      </x:c>
      <x:c r="C150" s="2" t="n">
        <x:f>'Daily inputs'!C150</x:f>
        <x:v>2</x:v>
      </x:c>
      <x:c r="D150" s="2" t="str">
        <x:f>'Daily inputs'!D150</x:f>
        <x:v>Training</x:v>
      </x:c>
      <x:c r="E150" s="7" t="n">
        <x:f>'Daily inputs'!E150</x:f>
        <x:v>3.5</x:v>
      </x:c>
      <x:c r="F150" s="2" t="n">
        <x:f>'Daily inputs'!F150</x:f>
        <x:v>78</x:v>
      </x:c>
      <x:c r="G150" s="2" t="n">
        <x:f>'Daily inputs'!G150</x:f>
        <x:v>10</x:v>
      </x:c>
      <x:c r="H150" s="2" t="n">
        <x:f>'Daily inputs'!H150</x:f>
        <x:v>80</x:v>
      </x:c>
      <x:c r="I150" s="2" t="n">
        <x:f>'Daily inputs'!I150</x:f>
        <x:v>0</x:v>
      </x:c>
      <x:c r="J150" s="2" t="n">
        <x:f>'Daily inputs'!J150</x:f>
        <x:v>0</x:v>
      </x:c>
      <x:c r="K150" s="2" t="n">
        <x:f>'Daily inputs'!K150</x:f>
        <x:v>0</x:v>
      </x:c>
      <x:c r="L150" s="2" t="n">
        <x:f>MIN(F150,G150+H150-I150)</x:f>
        <x:v>78</x:v>
      </x:c>
      <x:c r="M150" s="2" t="n">
        <x:f>G150+H150-L150-I150</x:f>
        <x:v>12</x:v>
      </x:c>
      <x:c r="N150" s="2" t="n">
        <x:f>F150-L150</x:f>
        <x:v>0</x:v>
      </x:c>
      <x:c r="O150" s="2" t="n">
        <x:f>N150-J150</x:f>
        <x:v>0</x:v>
      </x:c>
      <x:c r="P150" s="2" t="n">
        <x:f>L150+I150</x:f>
        <x:v>78</x:v>
      </x:c>
      <x:c r="Q150" s="8" t="n">
        <x:f>P150*E150</x:f>
        <x:v>273</x:v>
      </x:c>
      <x:c r="R150" s="8" t="n">
        <x:f>I150*E150</x:f>
        <x:v>0</x:v>
      </x:c>
      <x:c r="S150" s="8" t="n">
        <x:f>O150*E150</x:f>
        <x:v>0</x:v>
      </x:c>
      <x:c r="T150" s="2" t="str">
        <x:f>IF(A150&lt;DATE(2025,12,1),"",IF(D150="Closed",0,ROUND(AVERAGEIFS('Daily inputs'!$F$2:$F$367,'Daily inputs'!$B$2:$B$367,B150,'Daily inputs'!$C$2:$C$367,C150,'Daily inputs'!$D$2:$D$367,"Training"),0)))</x:f>
      </x:c>
      <x:c r="U150" s="2" t="str">
        <x:f>IF(A150&lt;DATE(2025,12,1),"",ROUND(T150*IF(D150="Christmas",Notes!$B$9,Notes!$B$8),0))</x:f>
      </x:c>
      <x:c r="V150" s="2" t="str">
        <x:f>IF(A150&lt;DATE(2025,12,1),"",ABS(T150-F150))</x:f>
      </x:c>
      <x:c r="W150" s="2" t="str">
        <x:f>IF(A150&lt;DATE(2025,12,1),"",ABS(U150-F150))</x:f>
      </x:c>
      <x:c r="X150" s="2" t="str">
        <x:f>IF(A150&lt;DATE(2025,12,1),"",T150-F150)</x:f>
      </x:c>
      <x:c r="Y150" s="2" t="str">
        <x:f>IF(A150&lt;DATE(2025,12,1),"",U150-F150)</x:f>
      </x:c>
      <x:c r="Z150" s="2" t="n">
        <x:f>IF(N150&gt;0,1,0)</x:f>
        <x:v>0</x:v>
      </x:c>
    </x:row>
    <x:row r="151" ht="21" customHeight="1">
      <x:c r="A151" s="6" t="n">
        <x:f>'Daily inputs'!A151</x:f>
        <x:v>45986</x:v>
      </x:c>
      <x:c r="B151" s="2" t="str">
        <x:f>'Daily inputs'!B151</x:f>
        <x:v>I06</x:v>
      </x:c>
      <x:c r="C151" s="2" t="n">
        <x:f>'Daily inputs'!C151</x:f>
        <x:v>2</x:v>
      </x:c>
      <x:c r="D151" s="2" t="str">
        <x:f>'Daily inputs'!D151</x:f>
        <x:v>Training</x:v>
      </x:c>
      <x:c r="E151" s="7" t="n">
        <x:f>'Daily inputs'!E151</x:f>
        <x:v>3</x:v>
      </x:c>
      <x:c r="F151" s="2" t="n">
        <x:f>'Daily inputs'!F151</x:f>
        <x:v>27</x:v>
      </x:c>
      <x:c r="G151" s="2" t="n">
        <x:f>'Daily inputs'!G151</x:f>
        <x:v>4</x:v>
      </x:c>
      <x:c r="H151" s="2" t="n">
        <x:f>'Daily inputs'!H151</x:f>
        <x:v>27</x:v>
      </x:c>
      <x:c r="I151" s="2" t="n">
        <x:f>'Daily inputs'!I151</x:f>
        <x:v>0</x:v>
      </x:c>
      <x:c r="J151" s="2" t="n">
        <x:f>'Daily inputs'!J151</x:f>
        <x:v>0</x:v>
      </x:c>
      <x:c r="K151" s="2" t="n">
        <x:f>'Daily inputs'!K151</x:f>
        <x:v>0</x:v>
      </x:c>
      <x:c r="L151" s="2" t="n">
        <x:f>MIN(F151,G151+H151-I151)</x:f>
        <x:v>27</x:v>
      </x:c>
      <x:c r="M151" s="2" t="n">
        <x:f>G151+H151-L151-I151</x:f>
        <x:v>4</x:v>
      </x:c>
      <x:c r="N151" s="2" t="n">
        <x:f>F151-L151</x:f>
        <x:v>0</x:v>
      </x:c>
      <x:c r="O151" s="2" t="n">
        <x:f>N151-J151</x:f>
        <x:v>0</x:v>
      </x:c>
      <x:c r="P151" s="2" t="n">
        <x:f>L151+I151</x:f>
        <x:v>27</x:v>
      </x:c>
      <x:c r="Q151" s="8" t="n">
        <x:f>P151*E151</x:f>
        <x:v>81</x:v>
      </x:c>
      <x:c r="R151" s="8" t="n">
        <x:f>I151*E151</x:f>
        <x:v>0</x:v>
      </x:c>
      <x:c r="S151" s="8" t="n">
        <x:f>O151*E151</x:f>
        <x:v>0</x:v>
      </x:c>
      <x:c r="T151" s="2" t="str">
        <x:f>IF(A151&lt;DATE(2025,12,1),"",IF(D151="Closed",0,ROUND(AVERAGEIFS('Daily inputs'!$F$2:$F$367,'Daily inputs'!$B$2:$B$367,B151,'Daily inputs'!$C$2:$C$367,C151,'Daily inputs'!$D$2:$D$367,"Training"),0)))</x:f>
      </x:c>
      <x:c r="U151" s="2" t="str">
        <x:f>IF(A151&lt;DATE(2025,12,1),"",ROUND(T151*IF(D151="Christmas",Notes!$B$9,Notes!$B$8),0))</x:f>
      </x:c>
      <x:c r="V151" s="2" t="str">
        <x:f>IF(A151&lt;DATE(2025,12,1),"",ABS(T151-F151))</x:f>
      </x:c>
      <x:c r="W151" s="2" t="str">
        <x:f>IF(A151&lt;DATE(2025,12,1),"",ABS(U151-F151))</x:f>
      </x:c>
      <x:c r="X151" s="2" t="str">
        <x:f>IF(A151&lt;DATE(2025,12,1),"",T151-F151)</x:f>
      </x:c>
      <x:c r="Y151" s="2" t="str">
        <x:f>IF(A151&lt;DATE(2025,12,1),"",U151-F151)</x:f>
      </x:c>
      <x:c r="Z151" s="2" t="n">
        <x:f>IF(N151&gt;0,1,0)</x:f>
        <x:v>0</x:v>
      </x:c>
    </x:row>
    <x:row r="152" ht="21" customHeight="1">
      <x:c r="A152" s="6" t="n">
        <x:f>'Daily inputs'!A152</x:f>
        <x:v>45987</x:v>
      </x:c>
      <x:c r="B152" s="2" t="str">
        <x:f>'Daily inputs'!B152</x:f>
        <x:v>I01</x:v>
      </x:c>
      <x:c r="C152" s="2" t="n">
        <x:f>'Daily inputs'!C152</x:f>
        <x:v>3</x:v>
      </x:c>
      <x:c r="D152" s="2" t="str">
        <x:f>'Daily inputs'!D152</x:f>
        <x:v>Training</x:v>
      </x:c>
      <x:c r="E152" s="7" t="n">
        <x:f>'Daily inputs'!E152</x:f>
        <x:v>8.5</x:v>
      </x:c>
      <x:c r="F152" s="2" t="n">
        <x:f>'Daily inputs'!F152</x:f>
        <x:v>69</x:v>
      </x:c>
      <x:c r="G152" s="2" t="n">
        <x:f>'Daily inputs'!G152</x:f>
        <x:v>9</x:v>
      </x:c>
      <x:c r="H152" s="2" t="n">
        <x:f>'Daily inputs'!H152</x:f>
        <x:v>70</x:v>
      </x:c>
      <x:c r="I152" s="2" t="n">
        <x:f>'Daily inputs'!I152</x:f>
        <x:v>0</x:v>
      </x:c>
      <x:c r="J152" s="2" t="n">
        <x:f>'Daily inputs'!J152</x:f>
        <x:v>0</x:v>
      </x:c>
      <x:c r="K152" s="2" t="n">
        <x:f>'Daily inputs'!K152</x:f>
        <x:v>0</x:v>
      </x:c>
      <x:c r="L152" s="2" t="n">
        <x:f>MIN(F152,G152+H152-I152)</x:f>
        <x:v>69</x:v>
      </x:c>
      <x:c r="M152" s="2" t="n">
        <x:f>G152+H152-L152-I152</x:f>
        <x:v>10</x:v>
      </x:c>
      <x:c r="N152" s="2" t="n">
        <x:f>F152-L152</x:f>
        <x:v>0</x:v>
      </x:c>
      <x:c r="O152" s="2" t="n">
        <x:f>N152-J152</x:f>
        <x:v>0</x:v>
      </x:c>
      <x:c r="P152" s="2" t="n">
        <x:f>L152+I152</x:f>
        <x:v>69</x:v>
      </x:c>
      <x:c r="Q152" s="8" t="n">
        <x:f>P152*E152</x:f>
        <x:v>586.5</x:v>
      </x:c>
      <x:c r="R152" s="8" t="n">
        <x:f>I152*E152</x:f>
        <x:v>0</x:v>
      </x:c>
      <x:c r="S152" s="8" t="n">
        <x:f>O152*E152</x:f>
        <x:v>0</x:v>
      </x:c>
      <x:c r="T152" s="2" t="str">
        <x:f>IF(A152&lt;DATE(2025,12,1),"",IF(D152="Closed",0,ROUND(AVERAGEIFS('Daily inputs'!$F$2:$F$367,'Daily inputs'!$B$2:$B$367,B152,'Daily inputs'!$C$2:$C$367,C152,'Daily inputs'!$D$2:$D$367,"Training"),0)))</x:f>
      </x:c>
      <x:c r="U152" s="2" t="str">
        <x:f>IF(A152&lt;DATE(2025,12,1),"",ROUND(T152*IF(D152="Christmas",Notes!$B$9,Notes!$B$8),0))</x:f>
      </x:c>
      <x:c r="V152" s="2" t="str">
        <x:f>IF(A152&lt;DATE(2025,12,1),"",ABS(T152-F152))</x:f>
      </x:c>
      <x:c r="W152" s="2" t="str">
        <x:f>IF(A152&lt;DATE(2025,12,1),"",ABS(U152-F152))</x:f>
      </x:c>
      <x:c r="X152" s="2" t="str">
        <x:f>IF(A152&lt;DATE(2025,12,1),"",T152-F152)</x:f>
      </x:c>
      <x:c r="Y152" s="2" t="str">
        <x:f>IF(A152&lt;DATE(2025,12,1),"",U152-F152)</x:f>
      </x:c>
      <x:c r="Z152" s="2" t="n">
        <x:f>IF(N152&gt;0,1,0)</x:f>
        <x:v>0</x:v>
      </x:c>
    </x:row>
    <x:row r="153" ht="21" customHeight="1">
      <x:c r="A153" s="6" t="n">
        <x:f>'Daily inputs'!A153</x:f>
        <x:v>45987</x:v>
      </x:c>
      <x:c r="B153" s="2" t="str">
        <x:f>'Daily inputs'!B153</x:f>
        <x:v>I02</x:v>
      </x:c>
      <x:c r="C153" s="2" t="n">
        <x:f>'Daily inputs'!C153</x:f>
        <x:v>3</x:v>
      </x:c>
      <x:c r="D153" s="2" t="str">
        <x:f>'Daily inputs'!D153</x:f>
        <x:v>Training</x:v>
      </x:c>
      <x:c r="E153" s="7" t="n">
        <x:f>'Daily inputs'!E153</x:f>
        <x:v>8</x:v>
      </x:c>
      <x:c r="F153" s="2" t="n">
        <x:f>'Daily inputs'!F153</x:f>
        <x:v>55</x:v>
      </x:c>
      <x:c r="G153" s="2" t="n">
        <x:f>'Daily inputs'!G153</x:f>
        <x:v>8</x:v>
      </x:c>
      <x:c r="H153" s="2" t="n">
        <x:f>'Daily inputs'!H153</x:f>
        <x:v>55</x:v>
      </x:c>
      <x:c r="I153" s="2" t="n">
        <x:f>'Daily inputs'!I153</x:f>
        <x:v>0</x:v>
      </x:c>
      <x:c r="J153" s="2" t="n">
        <x:f>'Daily inputs'!J153</x:f>
        <x:v>0</x:v>
      </x:c>
      <x:c r="K153" s="2" t="n">
        <x:f>'Daily inputs'!K153</x:f>
        <x:v>0</x:v>
      </x:c>
      <x:c r="L153" s="2" t="n">
        <x:f>MIN(F153,G153+H153-I153)</x:f>
        <x:v>55</x:v>
      </x:c>
      <x:c r="M153" s="2" t="n">
        <x:f>G153+H153-L153-I153</x:f>
        <x:v>8</x:v>
      </x:c>
      <x:c r="N153" s="2" t="n">
        <x:f>F153-L153</x:f>
        <x:v>0</x:v>
      </x:c>
      <x:c r="O153" s="2" t="n">
        <x:f>N153-J153</x:f>
        <x:v>0</x:v>
      </x:c>
      <x:c r="P153" s="2" t="n">
        <x:f>L153+I153</x:f>
        <x:v>55</x:v>
      </x:c>
      <x:c r="Q153" s="8" t="n">
        <x:f>P153*E153</x:f>
        <x:v>440</x:v>
      </x:c>
      <x:c r="R153" s="8" t="n">
        <x:f>I153*E153</x:f>
        <x:v>0</x:v>
      </x:c>
      <x:c r="S153" s="8" t="n">
        <x:f>O153*E153</x:f>
        <x:v>0</x:v>
      </x:c>
      <x:c r="T153" s="2" t="str">
        <x:f>IF(A153&lt;DATE(2025,12,1),"",IF(D153="Closed",0,ROUND(AVERAGEIFS('Daily inputs'!$F$2:$F$367,'Daily inputs'!$B$2:$B$367,B153,'Daily inputs'!$C$2:$C$367,C153,'Daily inputs'!$D$2:$D$367,"Training"),0)))</x:f>
      </x:c>
      <x:c r="U153" s="2" t="str">
        <x:f>IF(A153&lt;DATE(2025,12,1),"",ROUND(T153*IF(D153="Christmas",Notes!$B$9,Notes!$B$8),0))</x:f>
      </x:c>
      <x:c r="V153" s="2" t="str">
        <x:f>IF(A153&lt;DATE(2025,12,1),"",ABS(T153-F153))</x:f>
      </x:c>
      <x:c r="W153" s="2" t="str">
        <x:f>IF(A153&lt;DATE(2025,12,1),"",ABS(U153-F153))</x:f>
      </x:c>
      <x:c r="X153" s="2" t="str">
        <x:f>IF(A153&lt;DATE(2025,12,1),"",T153-F153)</x:f>
      </x:c>
      <x:c r="Y153" s="2" t="str">
        <x:f>IF(A153&lt;DATE(2025,12,1),"",U153-F153)</x:f>
      </x:c>
      <x:c r="Z153" s="2" t="n">
        <x:f>IF(N153&gt;0,1,0)</x:f>
        <x:v>0</x:v>
      </x:c>
    </x:row>
    <x:row r="154" ht="21" customHeight="1">
      <x:c r="A154" s="6" t="n">
        <x:f>'Daily inputs'!A154</x:f>
        <x:v>45987</x:v>
      </x:c>
      <x:c r="B154" s="2" t="str">
        <x:f>'Daily inputs'!B154</x:f>
        <x:v>I03</x:v>
      </x:c>
      <x:c r="C154" s="2" t="n">
        <x:f>'Daily inputs'!C154</x:f>
        <x:v>3</x:v>
      </x:c>
      <x:c r="D154" s="2" t="str">
        <x:f>'Daily inputs'!D154</x:f>
        <x:v>Training</x:v>
      </x:c>
      <x:c r="E154" s="7" t="n">
        <x:f>'Daily inputs'!E154</x:f>
        <x:v>7.5</x:v>
      </x:c>
      <x:c r="F154" s="2" t="n">
        <x:f>'Daily inputs'!F154</x:f>
        <x:v>32</x:v>
      </x:c>
      <x:c r="G154" s="2" t="n">
        <x:f>'Daily inputs'!G154</x:f>
        <x:v>5</x:v>
      </x:c>
      <x:c r="H154" s="2" t="n">
        <x:f>'Daily inputs'!H154</x:f>
        <x:v>32</x:v>
      </x:c>
      <x:c r="I154" s="2" t="n">
        <x:f>'Daily inputs'!I154</x:f>
        <x:v>0</x:v>
      </x:c>
      <x:c r="J154" s="2" t="n">
        <x:f>'Daily inputs'!J154</x:f>
        <x:v>0</x:v>
      </x:c>
      <x:c r="K154" s="2" t="n">
        <x:f>'Daily inputs'!K154</x:f>
        <x:v>0</x:v>
      </x:c>
      <x:c r="L154" s="2" t="n">
        <x:f>MIN(F154,G154+H154-I154)</x:f>
        <x:v>32</x:v>
      </x:c>
      <x:c r="M154" s="2" t="n">
        <x:f>G154+H154-L154-I154</x:f>
        <x:v>5</x:v>
      </x:c>
      <x:c r="N154" s="2" t="n">
        <x:f>F154-L154</x:f>
        <x:v>0</x:v>
      </x:c>
      <x:c r="O154" s="2" t="n">
        <x:f>N154-J154</x:f>
        <x:v>0</x:v>
      </x:c>
      <x:c r="P154" s="2" t="n">
        <x:f>L154+I154</x:f>
        <x:v>32</x:v>
      </x:c>
      <x:c r="Q154" s="8" t="n">
        <x:f>P154*E154</x:f>
        <x:v>240</x:v>
      </x:c>
      <x:c r="R154" s="8" t="n">
        <x:f>I154*E154</x:f>
        <x:v>0</x:v>
      </x:c>
      <x:c r="S154" s="8" t="n">
        <x:f>O154*E154</x:f>
        <x:v>0</x:v>
      </x:c>
      <x:c r="T154" s="2" t="str">
        <x:f>IF(A154&lt;DATE(2025,12,1),"",IF(D154="Closed",0,ROUND(AVERAGEIFS('Daily inputs'!$F$2:$F$367,'Daily inputs'!$B$2:$B$367,B154,'Daily inputs'!$C$2:$C$367,C154,'Daily inputs'!$D$2:$D$367,"Training"),0)))</x:f>
      </x:c>
      <x:c r="U154" s="2" t="str">
        <x:f>IF(A154&lt;DATE(2025,12,1),"",ROUND(T154*IF(D154="Christmas",Notes!$B$9,Notes!$B$8),0))</x:f>
      </x:c>
      <x:c r="V154" s="2" t="str">
        <x:f>IF(A154&lt;DATE(2025,12,1),"",ABS(T154-F154))</x:f>
      </x:c>
      <x:c r="W154" s="2" t="str">
        <x:f>IF(A154&lt;DATE(2025,12,1),"",ABS(U154-F154))</x:f>
      </x:c>
      <x:c r="X154" s="2" t="str">
        <x:f>IF(A154&lt;DATE(2025,12,1),"",T154-F154)</x:f>
      </x:c>
      <x:c r="Y154" s="2" t="str">
        <x:f>IF(A154&lt;DATE(2025,12,1),"",U154-F154)</x:f>
      </x:c>
      <x:c r="Z154" s="2" t="n">
        <x:f>IF(N154&gt;0,1,0)</x:f>
        <x:v>0</x:v>
      </x:c>
    </x:row>
    <x:row r="155" ht="21" customHeight="1">
      <x:c r="A155" s="6" t="n">
        <x:f>'Daily inputs'!A155</x:f>
        <x:v>45987</x:v>
      </x:c>
      <x:c r="B155" s="2" t="str">
        <x:f>'Daily inputs'!B155</x:f>
        <x:v>I04</x:v>
      </x:c>
      <x:c r="C155" s="2" t="n">
        <x:f>'Daily inputs'!C155</x:f>
        <x:v>3</x:v>
      </x:c>
      <x:c r="D155" s="2" t="str">
        <x:f>'Daily inputs'!D155</x:f>
        <x:v>Training</x:v>
      </x:c>
      <x:c r="E155" s="7" t="n">
        <x:f>'Daily inputs'!E155</x:f>
        <x:v>9</x:v>
      </x:c>
      <x:c r="F155" s="2" t="n">
        <x:f>'Daily inputs'!F155</x:f>
        <x:v>38</x:v>
      </x:c>
      <x:c r="G155" s="2" t="n">
        <x:f>'Daily inputs'!G155</x:f>
        <x:v>6</x:v>
      </x:c>
      <x:c r="H155" s="2" t="n">
        <x:f>'Daily inputs'!H155</x:f>
        <x:v>38</x:v>
      </x:c>
      <x:c r="I155" s="2" t="n">
        <x:f>'Daily inputs'!I155</x:f>
        <x:v>0</x:v>
      </x:c>
      <x:c r="J155" s="2" t="n">
        <x:f>'Daily inputs'!J155</x:f>
        <x:v>0</x:v>
      </x:c>
      <x:c r="K155" s="2" t="n">
        <x:f>'Daily inputs'!K155</x:f>
        <x:v>0</x:v>
      </x:c>
      <x:c r="L155" s="2" t="n">
        <x:f>MIN(F155,G155+H155-I155)</x:f>
        <x:v>38</x:v>
      </x:c>
      <x:c r="M155" s="2" t="n">
        <x:f>G155+H155-L155-I155</x:f>
        <x:v>6</x:v>
      </x:c>
      <x:c r="N155" s="2" t="n">
        <x:f>F155-L155</x:f>
        <x:v>0</x:v>
      </x:c>
      <x:c r="O155" s="2" t="n">
        <x:f>N155-J155</x:f>
        <x:v>0</x:v>
      </x:c>
      <x:c r="P155" s="2" t="n">
        <x:f>L155+I155</x:f>
        <x:v>38</x:v>
      </x:c>
      <x:c r="Q155" s="8" t="n">
        <x:f>P155*E155</x:f>
        <x:v>342</x:v>
      </x:c>
      <x:c r="R155" s="8" t="n">
        <x:f>I155*E155</x:f>
        <x:v>0</x:v>
      </x:c>
      <x:c r="S155" s="8" t="n">
        <x:f>O155*E155</x:f>
        <x:v>0</x:v>
      </x:c>
      <x:c r="T155" s="2" t="str">
        <x:f>IF(A155&lt;DATE(2025,12,1),"",IF(D155="Closed",0,ROUND(AVERAGEIFS('Daily inputs'!$F$2:$F$367,'Daily inputs'!$B$2:$B$367,B155,'Daily inputs'!$C$2:$C$367,C155,'Daily inputs'!$D$2:$D$367,"Training"),0)))</x:f>
      </x:c>
      <x:c r="U155" s="2" t="str">
        <x:f>IF(A155&lt;DATE(2025,12,1),"",ROUND(T155*IF(D155="Christmas",Notes!$B$9,Notes!$B$8),0))</x:f>
      </x:c>
      <x:c r="V155" s="2" t="str">
        <x:f>IF(A155&lt;DATE(2025,12,1),"",ABS(T155-F155))</x:f>
      </x:c>
      <x:c r="W155" s="2" t="str">
        <x:f>IF(A155&lt;DATE(2025,12,1),"",ABS(U155-F155))</x:f>
      </x:c>
      <x:c r="X155" s="2" t="str">
        <x:f>IF(A155&lt;DATE(2025,12,1),"",T155-F155)</x:f>
      </x:c>
      <x:c r="Y155" s="2" t="str">
        <x:f>IF(A155&lt;DATE(2025,12,1),"",U155-F155)</x:f>
      </x:c>
      <x:c r="Z155" s="2" t="n">
        <x:f>IF(N155&gt;0,1,0)</x:f>
        <x:v>0</x:v>
      </x:c>
    </x:row>
    <x:row r="156" ht="21" customHeight="1">
      <x:c r="A156" s="6" t="n">
        <x:f>'Daily inputs'!A156</x:f>
        <x:v>45987</x:v>
      </x:c>
      <x:c r="B156" s="2" t="str">
        <x:f>'Daily inputs'!B156</x:f>
        <x:v>I05</x:v>
      </x:c>
      <x:c r="C156" s="2" t="n">
        <x:f>'Daily inputs'!C156</x:f>
        <x:v>3</x:v>
      </x:c>
      <x:c r="D156" s="2" t="str">
        <x:f>'Daily inputs'!D156</x:f>
        <x:v>Training</x:v>
      </x:c>
      <x:c r="E156" s="7" t="n">
        <x:f>'Daily inputs'!E156</x:f>
        <x:v>3.5</x:v>
      </x:c>
      <x:c r="F156" s="2" t="n">
        <x:f>'Daily inputs'!F156</x:f>
        <x:v>74</x:v>
      </x:c>
      <x:c r="G156" s="2" t="n">
        <x:f>'Daily inputs'!G156</x:f>
        <x:v>12</x:v>
      </x:c>
      <x:c r="H156" s="2" t="n">
        <x:f>'Daily inputs'!H156</x:f>
        <x:v>73</x:v>
      </x:c>
      <x:c r="I156" s="2" t="n">
        <x:f>'Daily inputs'!I156</x:f>
        <x:v>0</x:v>
      </x:c>
      <x:c r="J156" s="2" t="n">
        <x:f>'Daily inputs'!J156</x:f>
        <x:v>0</x:v>
      </x:c>
      <x:c r="K156" s="2" t="n">
        <x:f>'Daily inputs'!K156</x:f>
        <x:v>0</x:v>
      </x:c>
      <x:c r="L156" s="2" t="n">
        <x:f>MIN(F156,G156+H156-I156)</x:f>
        <x:v>74</x:v>
      </x:c>
      <x:c r="M156" s="2" t="n">
        <x:f>G156+H156-L156-I156</x:f>
        <x:v>11</x:v>
      </x:c>
      <x:c r="N156" s="2" t="n">
        <x:f>F156-L156</x:f>
        <x:v>0</x:v>
      </x:c>
      <x:c r="O156" s="2" t="n">
        <x:f>N156-J156</x:f>
        <x:v>0</x:v>
      </x:c>
      <x:c r="P156" s="2" t="n">
        <x:f>L156+I156</x:f>
        <x:v>74</x:v>
      </x:c>
      <x:c r="Q156" s="8" t="n">
        <x:f>P156*E156</x:f>
        <x:v>259</x:v>
      </x:c>
      <x:c r="R156" s="8" t="n">
        <x:f>I156*E156</x:f>
        <x:v>0</x:v>
      </x:c>
      <x:c r="S156" s="8" t="n">
        <x:f>O156*E156</x:f>
        <x:v>0</x:v>
      </x:c>
      <x:c r="T156" s="2" t="str">
        <x:f>IF(A156&lt;DATE(2025,12,1),"",IF(D156="Closed",0,ROUND(AVERAGEIFS('Daily inputs'!$F$2:$F$367,'Daily inputs'!$B$2:$B$367,B156,'Daily inputs'!$C$2:$C$367,C156,'Daily inputs'!$D$2:$D$367,"Training"),0)))</x:f>
      </x:c>
      <x:c r="U156" s="2" t="str">
        <x:f>IF(A156&lt;DATE(2025,12,1),"",ROUND(T156*IF(D156="Christmas",Notes!$B$9,Notes!$B$8),0))</x:f>
      </x:c>
      <x:c r="V156" s="2" t="str">
        <x:f>IF(A156&lt;DATE(2025,12,1),"",ABS(T156-F156))</x:f>
      </x:c>
      <x:c r="W156" s="2" t="str">
        <x:f>IF(A156&lt;DATE(2025,12,1),"",ABS(U156-F156))</x:f>
      </x:c>
      <x:c r="X156" s="2" t="str">
        <x:f>IF(A156&lt;DATE(2025,12,1),"",T156-F156)</x:f>
      </x:c>
      <x:c r="Y156" s="2" t="str">
        <x:f>IF(A156&lt;DATE(2025,12,1),"",U156-F156)</x:f>
      </x:c>
      <x:c r="Z156" s="2" t="n">
        <x:f>IF(N156&gt;0,1,0)</x:f>
        <x:v>0</x:v>
      </x:c>
    </x:row>
    <x:row r="157" ht="21" customHeight="1">
      <x:c r="A157" s="6" t="n">
        <x:f>'Daily inputs'!A157</x:f>
        <x:v>45987</x:v>
      </x:c>
      <x:c r="B157" s="2" t="str">
        <x:f>'Daily inputs'!B157</x:f>
        <x:v>I06</x:v>
      </x:c>
      <x:c r="C157" s="2" t="n">
        <x:f>'Daily inputs'!C157</x:f>
        <x:v>3</x:v>
      </x:c>
      <x:c r="D157" s="2" t="str">
        <x:f>'Daily inputs'!D157</x:f>
        <x:v>Training</x:v>
      </x:c>
      <x:c r="E157" s="7" t="n">
        <x:f>'Daily inputs'!E157</x:f>
        <x:v>3</x:v>
      </x:c>
      <x:c r="F157" s="2" t="n">
        <x:f>'Daily inputs'!F157</x:f>
        <x:v>29</x:v>
      </x:c>
      <x:c r="G157" s="2" t="n">
        <x:f>'Daily inputs'!G157</x:f>
        <x:v>4</x:v>
      </x:c>
      <x:c r="H157" s="2" t="n">
        <x:f>'Daily inputs'!H157</x:f>
        <x:v>29</x:v>
      </x:c>
      <x:c r="I157" s="2" t="n">
        <x:f>'Daily inputs'!I157</x:f>
        <x:v>0</x:v>
      </x:c>
      <x:c r="J157" s="2" t="n">
        <x:f>'Daily inputs'!J157</x:f>
        <x:v>0</x:v>
      </x:c>
      <x:c r="K157" s="2" t="n">
        <x:f>'Daily inputs'!K157</x:f>
        <x:v>0</x:v>
      </x:c>
      <x:c r="L157" s="2" t="n">
        <x:f>MIN(F157,G157+H157-I157)</x:f>
        <x:v>29</x:v>
      </x:c>
      <x:c r="M157" s="2" t="n">
        <x:f>G157+H157-L157-I157</x:f>
        <x:v>4</x:v>
      </x:c>
      <x:c r="N157" s="2" t="n">
        <x:f>F157-L157</x:f>
        <x:v>0</x:v>
      </x:c>
      <x:c r="O157" s="2" t="n">
        <x:f>N157-J157</x:f>
        <x:v>0</x:v>
      </x:c>
      <x:c r="P157" s="2" t="n">
        <x:f>L157+I157</x:f>
        <x:v>29</x:v>
      </x:c>
      <x:c r="Q157" s="8" t="n">
        <x:f>P157*E157</x:f>
        <x:v>87</x:v>
      </x:c>
      <x:c r="R157" s="8" t="n">
        <x:f>I157*E157</x:f>
        <x:v>0</x:v>
      </x:c>
      <x:c r="S157" s="8" t="n">
        <x:f>O157*E157</x:f>
        <x:v>0</x:v>
      </x:c>
      <x:c r="T157" s="2" t="str">
        <x:f>IF(A157&lt;DATE(2025,12,1),"",IF(D157="Closed",0,ROUND(AVERAGEIFS('Daily inputs'!$F$2:$F$367,'Daily inputs'!$B$2:$B$367,B157,'Daily inputs'!$C$2:$C$367,C157,'Daily inputs'!$D$2:$D$367,"Training"),0)))</x:f>
      </x:c>
      <x:c r="U157" s="2" t="str">
        <x:f>IF(A157&lt;DATE(2025,12,1),"",ROUND(T157*IF(D157="Christmas",Notes!$B$9,Notes!$B$8),0))</x:f>
      </x:c>
      <x:c r="V157" s="2" t="str">
        <x:f>IF(A157&lt;DATE(2025,12,1),"",ABS(T157-F157))</x:f>
      </x:c>
      <x:c r="W157" s="2" t="str">
        <x:f>IF(A157&lt;DATE(2025,12,1),"",ABS(U157-F157))</x:f>
      </x:c>
      <x:c r="X157" s="2" t="str">
        <x:f>IF(A157&lt;DATE(2025,12,1),"",T157-F157)</x:f>
      </x:c>
      <x:c r="Y157" s="2" t="str">
        <x:f>IF(A157&lt;DATE(2025,12,1),"",U157-F157)</x:f>
      </x:c>
      <x:c r="Z157" s="2" t="n">
        <x:f>IF(N157&gt;0,1,0)</x:f>
        <x:v>0</x:v>
      </x:c>
    </x:row>
    <x:row r="158" ht="21" customHeight="1">
      <x:c r="A158" s="6" t="n">
        <x:f>'Daily inputs'!A158</x:f>
        <x:v>45988</x:v>
      </x:c>
      <x:c r="B158" s="2" t="str">
        <x:f>'Daily inputs'!B158</x:f>
        <x:v>I01</x:v>
      </x:c>
      <x:c r="C158" s="2" t="n">
        <x:f>'Daily inputs'!C158</x:f>
        <x:v>4</x:v>
      </x:c>
      <x:c r="D158" s="2" t="str">
        <x:f>'Daily inputs'!D158</x:f>
        <x:v>Training</x:v>
      </x:c>
      <x:c r="E158" s="7" t="n">
        <x:f>'Daily inputs'!E158</x:f>
        <x:v>8.5</x:v>
      </x:c>
      <x:c r="F158" s="2" t="n">
        <x:f>'Daily inputs'!F158</x:f>
        <x:v>68</x:v>
      </x:c>
      <x:c r="G158" s="2" t="n">
        <x:f>'Daily inputs'!G158</x:f>
        <x:v>10</x:v>
      </x:c>
      <x:c r="H158" s="2" t="n">
        <x:f>'Daily inputs'!H158</x:f>
        <x:v>68</x:v>
      </x:c>
      <x:c r="I158" s="2" t="n">
        <x:f>'Daily inputs'!I158</x:f>
        <x:v>0</x:v>
      </x:c>
      <x:c r="J158" s="2" t="n">
        <x:f>'Daily inputs'!J158</x:f>
        <x:v>0</x:v>
      </x:c>
      <x:c r="K158" s="2" t="n">
        <x:f>'Daily inputs'!K158</x:f>
        <x:v>0</x:v>
      </x:c>
      <x:c r="L158" s="2" t="n">
        <x:f>MIN(F158,G158+H158-I158)</x:f>
        <x:v>68</x:v>
      </x:c>
      <x:c r="M158" s="2" t="n">
        <x:f>G158+H158-L158-I158</x:f>
        <x:v>10</x:v>
      </x:c>
      <x:c r="N158" s="2" t="n">
        <x:f>F158-L158</x:f>
        <x:v>0</x:v>
      </x:c>
      <x:c r="O158" s="2" t="n">
        <x:f>N158-J158</x:f>
        <x:v>0</x:v>
      </x:c>
      <x:c r="P158" s="2" t="n">
        <x:f>L158+I158</x:f>
        <x:v>68</x:v>
      </x:c>
      <x:c r="Q158" s="8" t="n">
        <x:f>P158*E158</x:f>
        <x:v>578</x:v>
      </x:c>
      <x:c r="R158" s="8" t="n">
        <x:f>I158*E158</x:f>
        <x:v>0</x:v>
      </x:c>
      <x:c r="S158" s="8" t="n">
        <x:f>O158*E158</x:f>
        <x:v>0</x:v>
      </x:c>
      <x:c r="T158" s="2" t="str">
        <x:f>IF(A158&lt;DATE(2025,12,1),"",IF(D158="Closed",0,ROUND(AVERAGEIFS('Daily inputs'!$F$2:$F$367,'Daily inputs'!$B$2:$B$367,B158,'Daily inputs'!$C$2:$C$367,C158,'Daily inputs'!$D$2:$D$367,"Training"),0)))</x:f>
      </x:c>
      <x:c r="U158" s="2" t="str">
        <x:f>IF(A158&lt;DATE(2025,12,1),"",ROUND(T158*IF(D158="Christmas",Notes!$B$9,Notes!$B$8),0))</x:f>
      </x:c>
      <x:c r="V158" s="2" t="str">
        <x:f>IF(A158&lt;DATE(2025,12,1),"",ABS(T158-F158))</x:f>
      </x:c>
      <x:c r="W158" s="2" t="str">
        <x:f>IF(A158&lt;DATE(2025,12,1),"",ABS(U158-F158))</x:f>
      </x:c>
      <x:c r="X158" s="2" t="str">
        <x:f>IF(A158&lt;DATE(2025,12,1),"",T158-F158)</x:f>
      </x:c>
      <x:c r="Y158" s="2" t="str">
        <x:f>IF(A158&lt;DATE(2025,12,1),"",U158-F158)</x:f>
      </x:c>
      <x:c r="Z158" s="2" t="n">
        <x:f>IF(N158&gt;0,1,0)</x:f>
        <x:v>0</x:v>
      </x:c>
    </x:row>
    <x:row r="159" ht="21" customHeight="1">
      <x:c r="A159" s="6" t="n">
        <x:f>'Daily inputs'!A159</x:f>
        <x:v>45988</x:v>
      </x:c>
      <x:c r="B159" s="2" t="str">
        <x:f>'Daily inputs'!B159</x:f>
        <x:v>I02</x:v>
      </x:c>
      <x:c r="C159" s="2" t="n">
        <x:f>'Daily inputs'!C159</x:f>
        <x:v>4</x:v>
      </x:c>
      <x:c r="D159" s="2" t="str">
        <x:f>'Daily inputs'!D159</x:f>
        <x:v>Training</x:v>
      </x:c>
      <x:c r="E159" s="7" t="n">
        <x:f>'Daily inputs'!E159</x:f>
        <x:v>8</x:v>
      </x:c>
      <x:c r="F159" s="2" t="n">
        <x:f>'Daily inputs'!F159</x:f>
        <x:v>58</x:v>
      </x:c>
      <x:c r="G159" s="2" t="n">
        <x:f>'Daily inputs'!G159</x:f>
        <x:v>8</x:v>
      </x:c>
      <x:c r="H159" s="2" t="n">
        <x:f>'Daily inputs'!H159</x:f>
        <x:v>59</x:v>
      </x:c>
      <x:c r="I159" s="2" t="n">
        <x:f>'Daily inputs'!I159</x:f>
        <x:v>0</x:v>
      </x:c>
      <x:c r="J159" s="2" t="n">
        <x:f>'Daily inputs'!J159</x:f>
        <x:v>0</x:v>
      </x:c>
      <x:c r="K159" s="2" t="n">
        <x:f>'Daily inputs'!K159</x:f>
        <x:v>0</x:v>
      </x:c>
      <x:c r="L159" s="2" t="n">
        <x:f>MIN(F159,G159+H159-I159)</x:f>
        <x:v>58</x:v>
      </x:c>
      <x:c r="M159" s="2" t="n">
        <x:f>G159+H159-L159-I159</x:f>
        <x:v>9</x:v>
      </x:c>
      <x:c r="N159" s="2" t="n">
        <x:f>F159-L159</x:f>
        <x:v>0</x:v>
      </x:c>
      <x:c r="O159" s="2" t="n">
        <x:f>N159-J159</x:f>
        <x:v>0</x:v>
      </x:c>
      <x:c r="P159" s="2" t="n">
        <x:f>L159+I159</x:f>
        <x:v>58</x:v>
      </x:c>
      <x:c r="Q159" s="8" t="n">
        <x:f>P159*E159</x:f>
        <x:v>464</x:v>
      </x:c>
      <x:c r="R159" s="8" t="n">
        <x:f>I159*E159</x:f>
        <x:v>0</x:v>
      </x:c>
      <x:c r="S159" s="8" t="n">
        <x:f>O159*E159</x:f>
        <x:v>0</x:v>
      </x:c>
      <x:c r="T159" s="2" t="str">
        <x:f>IF(A159&lt;DATE(2025,12,1),"",IF(D159="Closed",0,ROUND(AVERAGEIFS('Daily inputs'!$F$2:$F$367,'Daily inputs'!$B$2:$B$367,B159,'Daily inputs'!$C$2:$C$367,C159,'Daily inputs'!$D$2:$D$367,"Training"),0)))</x:f>
      </x:c>
      <x:c r="U159" s="2" t="str">
        <x:f>IF(A159&lt;DATE(2025,12,1),"",ROUND(T159*IF(D159="Christmas",Notes!$B$9,Notes!$B$8),0))</x:f>
      </x:c>
      <x:c r="V159" s="2" t="str">
        <x:f>IF(A159&lt;DATE(2025,12,1),"",ABS(T159-F159))</x:f>
      </x:c>
      <x:c r="W159" s="2" t="str">
        <x:f>IF(A159&lt;DATE(2025,12,1),"",ABS(U159-F159))</x:f>
      </x:c>
      <x:c r="X159" s="2" t="str">
        <x:f>IF(A159&lt;DATE(2025,12,1),"",T159-F159)</x:f>
      </x:c>
      <x:c r="Y159" s="2" t="str">
        <x:f>IF(A159&lt;DATE(2025,12,1),"",U159-F159)</x:f>
      </x:c>
      <x:c r="Z159" s="2" t="n">
        <x:f>IF(N159&gt;0,1,0)</x:f>
        <x:v>0</x:v>
      </x:c>
    </x:row>
    <x:row r="160" ht="21" customHeight="1">
      <x:c r="A160" s="6" t="n">
        <x:f>'Daily inputs'!A160</x:f>
        <x:v>45988</x:v>
      </x:c>
      <x:c r="B160" s="2" t="str">
        <x:f>'Daily inputs'!B160</x:f>
        <x:v>I03</x:v>
      </x:c>
      <x:c r="C160" s="2" t="n">
        <x:f>'Daily inputs'!C160</x:f>
        <x:v>4</x:v>
      </x:c>
      <x:c r="D160" s="2" t="str">
        <x:f>'Daily inputs'!D160</x:f>
        <x:v>Training</x:v>
      </x:c>
      <x:c r="E160" s="7" t="n">
        <x:f>'Daily inputs'!E160</x:f>
        <x:v>7.5</x:v>
      </x:c>
      <x:c r="F160" s="2" t="n">
        <x:f>'Daily inputs'!F160</x:f>
        <x:v>34</x:v>
      </x:c>
      <x:c r="G160" s="2" t="n">
        <x:f>'Daily inputs'!G160</x:f>
        <x:v>5</x:v>
      </x:c>
      <x:c r="H160" s="2" t="n">
        <x:f>'Daily inputs'!H160</x:f>
        <x:v>34</x:v>
      </x:c>
      <x:c r="I160" s="2" t="n">
        <x:f>'Daily inputs'!I160</x:f>
        <x:v>0</x:v>
      </x:c>
      <x:c r="J160" s="2" t="n">
        <x:f>'Daily inputs'!J160</x:f>
        <x:v>0</x:v>
      </x:c>
      <x:c r="K160" s="2" t="n">
        <x:f>'Daily inputs'!K160</x:f>
        <x:v>0</x:v>
      </x:c>
      <x:c r="L160" s="2" t="n">
        <x:f>MIN(F160,G160+H160-I160)</x:f>
        <x:v>34</x:v>
      </x:c>
      <x:c r="M160" s="2" t="n">
        <x:f>G160+H160-L160-I160</x:f>
        <x:v>5</x:v>
      </x:c>
      <x:c r="N160" s="2" t="n">
        <x:f>F160-L160</x:f>
        <x:v>0</x:v>
      </x:c>
      <x:c r="O160" s="2" t="n">
        <x:f>N160-J160</x:f>
        <x:v>0</x:v>
      </x:c>
      <x:c r="P160" s="2" t="n">
        <x:f>L160+I160</x:f>
        <x:v>34</x:v>
      </x:c>
      <x:c r="Q160" s="8" t="n">
        <x:f>P160*E160</x:f>
        <x:v>255</x:v>
      </x:c>
      <x:c r="R160" s="8" t="n">
        <x:f>I160*E160</x:f>
        <x:v>0</x:v>
      </x:c>
      <x:c r="S160" s="8" t="n">
        <x:f>O160*E160</x:f>
        <x:v>0</x:v>
      </x:c>
      <x:c r="T160" s="2" t="str">
        <x:f>IF(A160&lt;DATE(2025,12,1),"",IF(D160="Closed",0,ROUND(AVERAGEIFS('Daily inputs'!$F$2:$F$367,'Daily inputs'!$B$2:$B$367,B160,'Daily inputs'!$C$2:$C$367,C160,'Daily inputs'!$D$2:$D$367,"Training"),0)))</x:f>
      </x:c>
      <x:c r="U160" s="2" t="str">
        <x:f>IF(A160&lt;DATE(2025,12,1),"",ROUND(T160*IF(D160="Christmas",Notes!$B$9,Notes!$B$8),0))</x:f>
      </x:c>
      <x:c r="V160" s="2" t="str">
        <x:f>IF(A160&lt;DATE(2025,12,1),"",ABS(T160-F160))</x:f>
      </x:c>
      <x:c r="W160" s="2" t="str">
        <x:f>IF(A160&lt;DATE(2025,12,1),"",ABS(U160-F160))</x:f>
      </x:c>
      <x:c r="X160" s="2" t="str">
        <x:f>IF(A160&lt;DATE(2025,12,1),"",T160-F160)</x:f>
      </x:c>
      <x:c r="Y160" s="2" t="str">
        <x:f>IF(A160&lt;DATE(2025,12,1),"",U160-F160)</x:f>
      </x:c>
      <x:c r="Z160" s="2" t="n">
        <x:f>IF(N160&gt;0,1,0)</x:f>
        <x:v>0</x:v>
      </x:c>
    </x:row>
    <x:row r="161" ht="21" customHeight="1">
      <x:c r="A161" s="6" t="n">
        <x:f>'Daily inputs'!A161</x:f>
        <x:v>45988</x:v>
      </x:c>
      <x:c r="B161" s="2" t="str">
        <x:f>'Daily inputs'!B161</x:f>
        <x:v>I04</x:v>
      </x:c>
      <x:c r="C161" s="2" t="n">
        <x:f>'Daily inputs'!C161</x:f>
        <x:v>4</x:v>
      </x:c>
      <x:c r="D161" s="2" t="str">
        <x:f>'Daily inputs'!D161</x:f>
        <x:v>Training</x:v>
      </x:c>
      <x:c r="E161" s="7" t="n">
        <x:f>'Daily inputs'!E161</x:f>
        <x:v>9</x:v>
      </x:c>
      <x:c r="F161" s="2" t="n">
        <x:f>'Daily inputs'!F161</x:f>
        <x:v>42</x:v>
      </x:c>
      <x:c r="G161" s="2" t="n">
        <x:f>'Daily inputs'!G161</x:f>
        <x:v>6</x:v>
      </x:c>
      <x:c r="H161" s="2" t="n">
        <x:f>'Daily inputs'!H161</x:f>
        <x:v>42</x:v>
      </x:c>
      <x:c r="I161" s="2" t="n">
        <x:f>'Daily inputs'!I161</x:f>
        <x:v>0</x:v>
      </x:c>
      <x:c r="J161" s="2" t="n">
        <x:f>'Daily inputs'!J161</x:f>
        <x:v>0</x:v>
      </x:c>
      <x:c r="K161" s="2" t="n">
        <x:f>'Daily inputs'!K161</x:f>
        <x:v>0</x:v>
      </x:c>
      <x:c r="L161" s="2" t="n">
        <x:f>MIN(F161,G161+H161-I161)</x:f>
        <x:v>42</x:v>
      </x:c>
      <x:c r="M161" s="2" t="n">
        <x:f>G161+H161-L161-I161</x:f>
        <x:v>6</x:v>
      </x:c>
      <x:c r="N161" s="2" t="n">
        <x:f>F161-L161</x:f>
        <x:v>0</x:v>
      </x:c>
      <x:c r="O161" s="2" t="n">
        <x:f>N161-J161</x:f>
        <x:v>0</x:v>
      </x:c>
      <x:c r="P161" s="2" t="n">
        <x:f>L161+I161</x:f>
        <x:v>42</x:v>
      </x:c>
      <x:c r="Q161" s="8" t="n">
        <x:f>P161*E161</x:f>
        <x:v>378</x:v>
      </x:c>
      <x:c r="R161" s="8" t="n">
        <x:f>I161*E161</x:f>
        <x:v>0</x:v>
      </x:c>
      <x:c r="S161" s="8" t="n">
        <x:f>O161*E161</x:f>
        <x:v>0</x:v>
      </x:c>
      <x:c r="T161" s="2" t="str">
        <x:f>IF(A161&lt;DATE(2025,12,1),"",IF(D161="Closed",0,ROUND(AVERAGEIFS('Daily inputs'!$F$2:$F$367,'Daily inputs'!$B$2:$B$367,B161,'Daily inputs'!$C$2:$C$367,C161,'Daily inputs'!$D$2:$D$367,"Training"),0)))</x:f>
      </x:c>
      <x:c r="U161" s="2" t="str">
        <x:f>IF(A161&lt;DATE(2025,12,1),"",ROUND(T161*IF(D161="Christmas",Notes!$B$9,Notes!$B$8),0))</x:f>
      </x:c>
      <x:c r="V161" s="2" t="str">
        <x:f>IF(A161&lt;DATE(2025,12,1),"",ABS(T161-F161))</x:f>
      </x:c>
      <x:c r="W161" s="2" t="str">
        <x:f>IF(A161&lt;DATE(2025,12,1),"",ABS(U161-F161))</x:f>
      </x:c>
      <x:c r="X161" s="2" t="str">
        <x:f>IF(A161&lt;DATE(2025,12,1),"",T161-F161)</x:f>
      </x:c>
      <x:c r="Y161" s="2" t="str">
        <x:f>IF(A161&lt;DATE(2025,12,1),"",U161-F161)</x:f>
      </x:c>
      <x:c r="Z161" s="2" t="n">
        <x:f>IF(N161&gt;0,1,0)</x:f>
        <x:v>0</x:v>
      </x:c>
    </x:row>
    <x:row r="162" ht="21" customHeight="1">
      <x:c r="A162" s="6" t="n">
        <x:f>'Daily inputs'!A162</x:f>
        <x:v>45988</x:v>
      </x:c>
      <x:c r="B162" s="2" t="str">
        <x:f>'Daily inputs'!B162</x:f>
        <x:v>I05</x:v>
      </x:c>
      <x:c r="C162" s="2" t="n">
        <x:f>'Daily inputs'!C162</x:f>
        <x:v>4</x:v>
      </x:c>
      <x:c r="D162" s="2" t="str">
        <x:f>'Daily inputs'!D162</x:f>
        <x:v>Training</x:v>
      </x:c>
      <x:c r="E162" s="7" t="n">
        <x:f>'Daily inputs'!E162</x:f>
        <x:v>3.5</x:v>
      </x:c>
      <x:c r="F162" s="2" t="n">
        <x:f>'Daily inputs'!F162</x:f>
        <x:v>85</x:v>
      </x:c>
      <x:c r="G162" s="2" t="n">
        <x:f>'Daily inputs'!G162</x:f>
        <x:v>11</x:v>
      </x:c>
      <x:c r="H162" s="2" t="n">
        <x:f>'Daily inputs'!H162</x:f>
        <x:v>87</x:v>
      </x:c>
      <x:c r="I162" s="2" t="n">
        <x:f>'Daily inputs'!I162</x:f>
        <x:v>0</x:v>
      </x:c>
      <x:c r="J162" s="2" t="n">
        <x:f>'Daily inputs'!J162</x:f>
        <x:v>0</x:v>
      </x:c>
      <x:c r="K162" s="2" t="n">
        <x:f>'Daily inputs'!K162</x:f>
        <x:v>0</x:v>
      </x:c>
      <x:c r="L162" s="2" t="n">
        <x:f>MIN(F162,G162+H162-I162)</x:f>
        <x:v>85</x:v>
      </x:c>
      <x:c r="M162" s="2" t="n">
        <x:f>G162+H162-L162-I162</x:f>
        <x:v>13</x:v>
      </x:c>
      <x:c r="N162" s="2" t="n">
        <x:f>F162-L162</x:f>
        <x:v>0</x:v>
      </x:c>
      <x:c r="O162" s="2" t="n">
        <x:f>N162-J162</x:f>
        <x:v>0</x:v>
      </x:c>
      <x:c r="P162" s="2" t="n">
        <x:f>L162+I162</x:f>
        <x:v>85</x:v>
      </x:c>
      <x:c r="Q162" s="8" t="n">
        <x:f>P162*E162</x:f>
        <x:v>297.5</x:v>
      </x:c>
      <x:c r="R162" s="8" t="n">
        <x:f>I162*E162</x:f>
        <x:v>0</x:v>
      </x:c>
      <x:c r="S162" s="8" t="n">
        <x:f>O162*E162</x:f>
        <x:v>0</x:v>
      </x:c>
      <x:c r="T162" s="2" t="str">
        <x:f>IF(A162&lt;DATE(2025,12,1),"",IF(D162="Closed",0,ROUND(AVERAGEIFS('Daily inputs'!$F$2:$F$367,'Daily inputs'!$B$2:$B$367,B162,'Daily inputs'!$C$2:$C$367,C162,'Daily inputs'!$D$2:$D$367,"Training"),0)))</x:f>
      </x:c>
      <x:c r="U162" s="2" t="str">
        <x:f>IF(A162&lt;DATE(2025,12,1),"",ROUND(T162*IF(D162="Christmas",Notes!$B$9,Notes!$B$8),0))</x:f>
      </x:c>
      <x:c r="V162" s="2" t="str">
        <x:f>IF(A162&lt;DATE(2025,12,1),"",ABS(T162-F162))</x:f>
      </x:c>
      <x:c r="W162" s="2" t="str">
        <x:f>IF(A162&lt;DATE(2025,12,1),"",ABS(U162-F162))</x:f>
      </x:c>
      <x:c r="X162" s="2" t="str">
        <x:f>IF(A162&lt;DATE(2025,12,1),"",T162-F162)</x:f>
      </x:c>
      <x:c r="Y162" s="2" t="str">
        <x:f>IF(A162&lt;DATE(2025,12,1),"",U162-F162)</x:f>
      </x:c>
      <x:c r="Z162" s="2" t="n">
        <x:f>IF(N162&gt;0,1,0)</x:f>
        <x:v>0</x:v>
      </x:c>
    </x:row>
    <x:row r="163" ht="21" customHeight="1">
      <x:c r="A163" s="6" t="n">
        <x:f>'Daily inputs'!A163</x:f>
        <x:v>45988</x:v>
      </x:c>
      <x:c r="B163" s="2" t="str">
        <x:f>'Daily inputs'!B163</x:f>
        <x:v>I06</x:v>
      </x:c>
      <x:c r="C163" s="2" t="n">
        <x:f>'Daily inputs'!C163</x:f>
        <x:v>4</x:v>
      </x:c>
      <x:c r="D163" s="2" t="str">
        <x:f>'Daily inputs'!D163</x:f>
        <x:v>Training</x:v>
      </x:c>
      <x:c r="E163" s="7" t="n">
        <x:f>'Daily inputs'!E163</x:f>
        <x:v>3</x:v>
      </x:c>
      <x:c r="F163" s="2" t="n">
        <x:f>'Daily inputs'!F163</x:f>
        <x:v>31</x:v>
      </x:c>
      <x:c r="G163" s="2" t="n">
        <x:f>'Daily inputs'!G163</x:f>
        <x:v>4</x:v>
      </x:c>
      <x:c r="H163" s="2" t="n">
        <x:f>'Daily inputs'!H163</x:f>
        <x:v>32</x:v>
      </x:c>
      <x:c r="I163" s="2" t="n">
        <x:f>'Daily inputs'!I163</x:f>
        <x:v>0</x:v>
      </x:c>
      <x:c r="J163" s="2" t="n">
        <x:f>'Daily inputs'!J163</x:f>
        <x:v>0</x:v>
      </x:c>
      <x:c r="K163" s="2" t="n">
        <x:f>'Daily inputs'!K163</x:f>
        <x:v>0</x:v>
      </x:c>
      <x:c r="L163" s="2" t="n">
        <x:f>MIN(F163,G163+H163-I163)</x:f>
        <x:v>31</x:v>
      </x:c>
      <x:c r="M163" s="2" t="n">
        <x:f>G163+H163-L163-I163</x:f>
        <x:v>5</x:v>
      </x:c>
      <x:c r="N163" s="2" t="n">
        <x:f>F163-L163</x:f>
        <x:v>0</x:v>
      </x:c>
      <x:c r="O163" s="2" t="n">
        <x:f>N163-J163</x:f>
        <x:v>0</x:v>
      </x:c>
      <x:c r="P163" s="2" t="n">
        <x:f>L163+I163</x:f>
        <x:v>31</x:v>
      </x:c>
      <x:c r="Q163" s="8" t="n">
        <x:f>P163*E163</x:f>
        <x:v>93</x:v>
      </x:c>
      <x:c r="R163" s="8" t="n">
        <x:f>I163*E163</x:f>
        <x:v>0</x:v>
      </x:c>
      <x:c r="S163" s="8" t="n">
        <x:f>O163*E163</x:f>
        <x:v>0</x:v>
      </x:c>
      <x:c r="T163" s="2" t="str">
        <x:f>IF(A163&lt;DATE(2025,12,1),"",IF(D163="Closed",0,ROUND(AVERAGEIFS('Daily inputs'!$F$2:$F$367,'Daily inputs'!$B$2:$B$367,B163,'Daily inputs'!$C$2:$C$367,C163,'Daily inputs'!$D$2:$D$367,"Training"),0)))</x:f>
      </x:c>
      <x:c r="U163" s="2" t="str">
        <x:f>IF(A163&lt;DATE(2025,12,1),"",ROUND(T163*IF(D163="Christmas",Notes!$B$9,Notes!$B$8),0))</x:f>
      </x:c>
      <x:c r="V163" s="2" t="str">
        <x:f>IF(A163&lt;DATE(2025,12,1),"",ABS(T163-F163))</x:f>
      </x:c>
      <x:c r="W163" s="2" t="str">
        <x:f>IF(A163&lt;DATE(2025,12,1),"",ABS(U163-F163))</x:f>
      </x:c>
      <x:c r="X163" s="2" t="str">
        <x:f>IF(A163&lt;DATE(2025,12,1),"",T163-F163)</x:f>
      </x:c>
      <x:c r="Y163" s="2" t="str">
        <x:f>IF(A163&lt;DATE(2025,12,1),"",U163-F163)</x:f>
      </x:c>
      <x:c r="Z163" s="2" t="n">
        <x:f>IF(N163&gt;0,1,0)</x:f>
        <x:v>0</x:v>
      </x:c>
    </x:row>
    <x:row r="164" ht="21" customHeight="1">
      <x:c r="A164" s="6" t="n">
        <x:f>'Daily inputs'!A164</x:f>
        <x:v>45989</x:v>
      </x:c>
      <x:c r="B164" s="2" t="str">
        <x:f>'Daily inputs'!B164</x:f>
        <x:v>I01</x:v>
      </x:c>
      <x:c r="C164" s="2" t="n">
        <x:f>'Daily inputs'!C164</x:f>
        <x:v>5</x:v>
      </x:c>
      <x:c r="D164" s="2" t="str">
        <x:f>'Daily inputs'!D164</x:f>
        <x:v>Training</x:v>
      </x:c>
      <x:c r="E164" s="7" t="n">
        <x:f>'Daily inputs'!E164</x:f>
        <x:v>8.5</x:v>
      </x:c>
      <x:c r="F164" s="2" t="n">
        <x:f>'Daily inputs'!F164</x:f>
        <x:v>82</x:v>
      </x:c>
      <x:c r="G164" s="2" t="n">
        <x:f>'Daily inputs'!G164</x:f>
        <x:v>10</x:v>
      </x:c>
      <x:c r="H164" s="2" t="n">
        <x:f>'Daily inputs'!H164</x:f>
        <x:v>84</x:v>
      </x:c>
      <x:c r="I164" s="2" t="n">
        <x:f>'Daily inputs'!I164</x:f>
        <x:v>0</x:v>
      </x:c>
      <x:c r="J164" s="2" t="n">
        <x:f>'Daily inputs'!J164</x:f>
        <x:v>0</x:v>
      </x:c>
      <x:c r="K164" s="2" t="n">
        <x:f>'Daily inputs'!K164</x:f>
        <x:v>0</x:v>
      </x:c>
      <x:c r="L164" s="2" t="n">
        <x:f>MIN(F164,G164+H164-I164)</x:f>
        <x:v>82</x:v>
      </x:c>
      <x:c r="M164" s="2" t="n">
        <x:f>G164+H164-L164-I164</x:f>
        <x:v>12</x:v>
      </x:c>
      <x:c r="N164" s="2" t="n">
        <x:f>F164-L164</x:f>
        <x:v>0</x:v>
      </x:c>
      <x:c r="O164" s="2" t="n">
        <x:f>N164-J164</x:f>
        <x:v>0</x:v>
      </x:c>
      <x:c r="P164" s="2" t="n">
        <x:f>L164+I164</x:f>
        <x:v>82</x:v>
      </x:c>
      <x:c r="Q164" s="8" t="n">
        <x:f>P164*E164</x:f>
        <x:v>697</x:v>
      </x:c>
      <x:c r="R164" s="8" t="n">
        <x:f>I164*E164</x:f>
        <x:v>0</x:v>
      </x:c>
      <x:c r="S164" s="8" t="n">
        <x:f>O164*E164</x:f>
        <x:v>0</x:v>
      </x:c>
      <x:c r="T164" s="2" t="str">
        <x:f>IF(A164&lt;DATE(2025,12,1),"",IF(D164="Closed",0,ROUND(AVERAGEIFS('Daily inputs'!$F$2:$F$367,'Daily inputs'!$B$2:$B$367,B164,'Daily inputs'!$C$2:$C$367,C164,'Daily inputs'!$D$2:$D$367,"Training"),0)))</x:f>
      </x:c>
      <x:c r="U164" s="2" t="str">
        <x:f>IF(A164&lt;DATE(2025,12,1),"",ROUND(T164*IF(D164="Christmas",Notes!$B$9,Notes!$B$8),0))</x:f>
      </x:c>
      <x:c r="V164" s="2" t="str">
        <x:f>IF(A164&lt;DATE(2025,12,1),"",ABS(T164-F164))</x:f>
      </x:c>
      <x:c r="W164" s="2" t="str">
        <x:f>IF(A164&lt;DATE(2025,12,1),"",ABS(U164-F164))</x:f>
      </x:c>
      <x:c r="X164" s="2" t="str">
        <x:f>IF(A164&lt;DATE(2025,12,1),"",T164-F164)</x:f>
      </x:c>
      <x:c r="Y164" s="2" t="str">
        <x:f>IF(A164&lt;DATE(2025,12,1),"",U164-F164)</x:f>
      </x:c>
      <x:c r="Z164" s="2" t="n">
        <x:f>IF(N164&gt;0,1,0)</x:f>
        <x:v>0</x:v>
      </x:c>
    </x:row>
    <x:row r="165" ht="21" customHeight="1">
      <x:c r="A165" s="6" t="n">
        <x:f>'Daily inputs'!A165</x:f>
        <x:v>45989</x:v>
      </x:c>
      <x:c r="B165" s="2" t="str">
        <x:f>'Daily inputs'!B165</x:f>
        <x:v>I02</x:v>
      </x:c>
      <x:c r="C165" s="2" t="n">
        <x:f>'Daily inputs'!C165</x:f>
        <x:v>5</x:v>
      </x:c>
      <x:c r="D165" s="2" t="str">
        <x:f>'Daily inputs'!D165</x:f>
        <x:v>Training</x:v>
      </x:c>
      <x:c r="E165" s="7" t="n">
        <x:f>'Daily inputs'!E165</x:f>
        <x:v>8</x:v>
      </x:c>
      <x:c r="F165" s="2" t="n">
        <x:f>'Daily inputs'!F165</x:f>
        <x:v>67</x:v>
      </x:c>
      <x:c r="G165" s="2" t="n">
        <x:f>'Daily inputs'!G165</x:f>
        <x:v>9</x:v>
      </x:c>
      <x:c r="H165" s="2" t="n">
        <x:f>'Daily inputs'!H165</x:f>
        <x:v>68</x:v>
      </x:c>
      <x:c r="I165" s="2" t="n">
        <x:f>'Daily inputs'!I165</x:f>
        <x:v>0</x:v>
      </x:c>
      <x:c r="J165" s="2" t="n">
        <x:f>'Daily inputs'!J165</x:f>
        <x:v>0</x:v>
      </x:c>
      <x:c r="K165" s="2" t="n">
        <x:f>'Daily inputs'!K165</x:f>
        <x:v>0</x:v>
      </x:c>
      <x:c r="L165" s="2" t="n">
        <x:f>MIN(F165,G165+H165-I165)</x:f>
        <x:v>67</x:v>
      </x:c>
      <x:c r="M165" s="2" t="n">
        <x:f>G165+H165-L165-I165</x:f>
        <x:v>10</x:v>
      </x:c>
      <x:c r="N165" s="2" t="n">
        <x:f>F165-L165</x:f>
        <x:v>0</x:v>
      </x:c>
      <x:c r="O165" s="2" t="n">
        <x:f>N165-J165</x:f>
        <x:v>0</x:v>
      </x:c>
      <x:c r="P165" s="2" t="n">
        <x:f>L165+I165</x:f>
        <x:v>67</x:v>
      </x:c>
      <x:c r="Q165" s="8" t="n">
        <x:f>P165*E165</x:f>
        <x:v>536</x:v>
      </x:c>
      <x:c r="R165" s="8" t="n">
        <x:f>I165*E165</x:f>
        <x:v>0</x:v>
      </x:c>
      <x:c r="S165" s="8" t="n">
        <x:f>O165*E165</x:f>
        <x:v>0</x:v>
      </x:c>
      <x:c r="T165" s="2" t="str">
        <x:f>IF(A165&lt;DATE(2025,12,1),"",IF(D165="Closed",0,ROUND(AVERAGEIFS('Daily inputs'!$F$2:$F$367,'Daily inputs'!$B$2:$B$367,B165,'Daily inputs'!$C$2:$C$367,C165,'Daily inputs'!$D$2:$D$367,"Training"),0)))</x:f>
      </x:c>
      <x:c r="U165" s="2" t="str">
        <x:f>IF(A165&lt;DATE(2025,12,1),"",ROUND(T165*IF(D165="Christmas",Notes!$B$9,Notes!$B$8),0))</x:f>
      </x:c>
      <x:c r="V165" s="2" t="str">
        <x:f>IF(A165&lt;DATE(2025,12,1),"",ABS(T165-F165))</x:f>
      </x:c>
      <x:c r="W165" s="2" t="str">
        <x:f>IF(A165&lt;DATE(2025,12,1),"",ABS(U165-F165))</x:f>
      </x:c>
      <x:c r="X165" s="2" t="str">
        <x:f>IF(A165&lt;DATE(2025,12,1),"",T165-F165)</x:f>
      </x:c>
      <x:c r="Y165" s="2" t="str">
        <x:f>IF(A165&lt;DATE(2025,12,1),"",U165-F165)</x:f>
      </x:c>
      <x:c r="Z165" s="2" t="n">
        <x:f>IF(N165&gt;0,1,0)</x:f>
        <x:v>0</x:v>
      </x:c>
    </x:row>
    <x:row r="166" ht="21" customHeight="1">
      <x:c r="A166" s="6" t="n">
        <x:f>'Daily inputs'!A166</x:f>
        <x:v>45989</x:v>
      </x:c>
      <x:c r="B166" s="2" t="str">
        <x:f>'Daily inputs'!B166</x:f>
        <x:v>I03</x:v>
      </x:c>
      <x:c r="C166" s="2" t="n">
        <x:f>'Daily inputs'!C166</x:f>
        <x:v>5</x:v>
      </x:c>
      <x:c r="D166" s="2" t="str">
        <x:f>'Daily inputs'!D166</x:f>
        <x:v>Training</x:v>
      </x:c>
      <x:c r="E166" s="7" t="n">
        <x:f>'Daily inputs'!E166</x:f>
        <x:v>7.5</x:v>
      </x:c>
      <x:c r="F166" s="2" t="n">
        <x:f>'Daily inputs'!F166</x:f>
        <x:v>39</x:v>
      </x:c>
      <x:c r="G166" s="2" t="n">
        <x:f>'Daily inputs'!G166</x:f>
        <x:v>5</x:v>
      </x:c>
      <x:c r="H166" s="2" t="n">
        <x:f>'Daily inputs'!H166</x:f>
        <x:v>40</x:v>
      </x:c>
      <x:c r="I166" s="2" t="n">
        <x:f>'Daily inputs'!I166</x:f>
        <x:v>0</x:v>
      </x:c>
      <x:c r="J166" s="2" t="n">
        <x:f>'Daily inputs'!J166</x:f>
        <x:v>0</x:v>
      </x:c>
      <x:c r="K166" s="2" t="n">
        <x:f>'Daily inputs'!K166</x:f>
        <x:v>0</x:v>
      </x:c>
      <x:c r="L166" s="2" t="n">
        <x:f>MIN(F166,G166+H166-I166)</x:f>
        <x:v>39</x:v>
      </x:c>
      <x:c r="M166" s="2" t="n">
        <x:f>G166+H166-L166-I166</x:f>
        <x:v>6</x:v>
      </x:c>
      <x:c r="N166" s="2" t="n">
        <x:f>F166-L166</x:f>
        <x:v>0</x:v>
      </x:c>
      <x:c r="O166" s="2" t="n">
        <x:f>N166-J166</x:f>
        <x:v>0</x:v>
      </x:c>
      <x:c r="P166" s="2" t="n">
        <x:f>L166+I166</x:f>
        <x:v>39</x:v>
      </x:c>
      <x:c r="Q166" s="8" t="n">
        <x:f>P166*E166</x:f>
        <x:v>292.5</x:v>
      </x:c>
      <x:c r="R166" s="8" t="n">
        <x:f>I166*E166</x:f>
        <x:v>0</x:v>
      </x:c>
      <x:c r="S166" s="8" t="n">
        <x:f>O166*E166</x:f>
        <x:v>0</x:v>
      </x:c>
      <x:c r="T166" s="2" t="str">
        <x:f>IF(A166&lt;DATE(2025,12,1),"",IF(D166="Closed",0,ROUND(AVERAGEIFS('Daily inputs'!$F$2:$F$367,'Daily inputs'!$B$2:$B$367,B166,'Daily inputs'!$C$2:$C$367,C166,'Daily inputs'!$D$2:$D$367,"Training"),0)))</x:f>
      </x:c>
      <x:c r="U166" s="2" t="str">
        <x:f>IF(A166&lt;DATE(2025,12,1),"",ROUND(T166*IF(D166="Christmas",Notes!$B$9,Notes!$B$8),0))</x:f>
      </x:c>
      <x:c r="V166" s="2" t="str">
        <x:f>IF(A166&lt;DATE(2025,12,1),"",ABS(T166-F166))</x:f>
      </x:c>
      <x:c r="W166" s="2" t="str">
        <x:f>IF(A166&lt;DATE(2025,12,1),"",ABS(U166-F166))</x:f>
      </x:c>
      <x:c r="X166" s="2" t="str">
        <x:f>IF(A166&lt;DATE(2025,12,1),"",T166-F166)</x:f>
      </x:c>
      <x:c r="Y166" s="2" t="str">
        <x:f>IF(A166&lt;DATE(2025,12,1),"",U166-F166)</x:f>
      </x:c>
      <x:c r="Z166" s="2" t="n">
        <x:f>IF(N166&gt;0,1,0)</x:f>
        <x:v>0</x:v>
      </x:c>
    </x:row>
    <x:row r="167" ht="21" customHeight="1">
      <x:c r="A167" s="6" t="n">
        <x:f>'Daily inputs'!A167</x:f>
        <x:v>45989</x:v>
      </x:c>
      <x:c r="B167" s="2" t="str">
        <x:f>'Daily inputs'!B167</x:f>
        <x:v>I04</x:v>
      </x:c>
      <x:c r="C167" s="2" t="n">
        <x:f>'Daily inputs'!C167</x:f>
        <x:v>5</x:v>
      </x:c>
      <x:c r="D167" s="2" t="str">
        <x:f>'Daily inputs'!D167</x:f>
        <x:v>Training</x:v>
      </x:c>
      <x:c r="E167" s="7" t="n">
        <x:f>'Daily inputs'!E167</x:f>
        <x:v>9</x:v>
      </x:c>
      <x:c r="F167" s="2" t="n">
        <x:f>'Daily inputs'!F167</x:f>
        <x:v>50</x:v>
      </x:c>
      <x:c r="G167" s="2" t="n">
        <x:f>'Daily inputs'!G167</x:f>
        <x:v>6</x:v>
      </x:c>
      <x:c r="H167" s="2" t="n">
        <x:f>'Daily inputs'!H167</x:f>
        <x:v>51</x:v>
      </x:c>
      <x:c r="I167" s="2" t="n">
        <x:f>'Daily inputs'!I167</x:f>
        <x:v>0</x:v>
      </x:c>
      <x:c r="J167" s="2" t="n">
        <x:f>'Daily inputs'!J167</x:f>
        <x:v>0</x:v>
      </x:c>
      <x:c r="K167" s="2" t="n">
        <x:f>'Daily inputs'!K167</x:f>
        <x:v>0</x:v>
      </x:c>
      <x:c r="L167" s="2" t="n">
        <x:f>MIN(F167,G167+H167-I167)</x:f>
        <x:v>50</x:v>
      </x:c>
      <x:c r="M167" s="2" t="n">
        <x:f>G167+H167-L167-I167</x:f>
        <x:v>7</x:v>
      </x:c>
      <x:c r="N167" s="2" t="n">
        <x:f>F167-L167</x:f>
        <x:v>0</x:v>
      </x:c>
      <x:c r="O167" s="2" t="n">
        <x:f>N167-J167</x:f>
        <x:v>0</x:v>
      </x:c>
      <x:c r="P167" s="2" t="n">
        <x:f>L167+I167</x:f>
        <x:v>50</x:v>
      </x:c>
      <x:c r="Q167" s="8" t="n">
        <x:f>P167*E167</x:f>
        <x:v>450</x:v>
      </x:c>
      <x:c r="R167" s="8" t="n">
        <x:f>I167*E167</x:f>
        <x:v>0</x:v>
      </x:c>
      <x:c r="S167" s="8" t="n">
        <x:f>O167*E167</x:f>
        <x:v>0</x:v>
      </x:c>
      <x:c r="T167" s="2" t="str">
        <x:f>IF(A167&lt;DATE(2025,12,1),"",IF(D167="Closed",0,ROUND(AVERAGEIFS('Daily inputs'!$F$2:$F$367,'Daily inputs'!$B$2:$B$367,B167,'Daily inputs'!$C$2:$C$367,C167,'Daily inputs'!$D$2:$D$367,"Training"),0)))</x:f>
      </x:c>
      <x:c r="U167" s="2" t="str">
        <x:f>IF(A167&lt;DATE(2025,12,1),"",ROUND(T167*IF(D167="Christmas",Notes!$B$9,Notes!$B$8),0))</x:f>
      </x:c>
      <x:c r="V167" s="2" t="str">
        <x:f>IF(A167&lt;DATE(2025,12,1),"",ABS(T167-F167))</x:f>
      </x:c>
      <x:c r="W167" s="2" t="str">
        <x:f>IF(A167&lt;DATE(2025,12,1),"",ABS(U167-F167))</x:f>
      </x:c>
      <x:c r="X167" s="2" t="str">
        <x:f>IF(A167&lt;DATE(2025,12,1),"",T167-F167)</x:f>
      </x:c>
      <x:c r="Y167" s="2" t="str">
        <x:f>IF(A167&lt;DATE(2025,12,1),"",U167-F167)</x:f>
      </x:c>
      <x:c r="Z167" s="2" t="n">
        <x:f>IF(N167&gt;0,1,0)</x:f>
        <x:v>0</x:v>
      </x:c>
    </x:row>
    <x:row r="168" ht="21" customHeight="1">
      <x:c r="A168" s="6" t="n">
        <x:f>'Daily inputs'!A168</x:f>
        <x:v>45989</x:v>
      </x:c>
      <x:c r="B168" s="2" t="str">
        <x:f>'Daily inputs'!B168</x:f>
        <x:v>I05</x:v>
      </x:c>
      <x:c r="C168" s="2" t="n">
        <x:f>'Daily inputs'!C168</x:f>
        <x:v>5</x:v>
      </x:c>
      <x:c r="D168" s="2" t="str">
        <x:f>'Daily inputs'!D168</x:f>
        <x:v>Training</x:v>
      </x:c>
      <x:c r="E168" s="7" t="n">
        <x:f>'Daily inputs'!E168</x:f>
        <x:v>3.5</x:v>
      </x:c>
      <x:c r="F168" s="2" t="n">
        <x:f>'Daily inputs'!F168</x:f>
        <x:v>102</x:v>
      </x:c>
      <x:c r="G168" s="2" t="n">
        <x:f>'Daily inputs'!G168</x:f>
        <x:v>13</x:v>
      </x:c>
      <x:c r="H168" s="2" t="n">
        <x:f>'Daily inputs'!H168</x:f>
        <x:v>104</x:v>
      </x:c>
      <x:c r="I168" s="2" t="n">
        <x:f>'Daily inputs'!I168</x:f>
        <x:v>0</x:v>
      </x:c>
      <x:c r="J168" s="2" t="n">
        <x:f>'Daily inputs'!J168</x:f>
        <x:v>0</x:v>
      </x:c>
      <x:c r="K168" s="2" t="n">
        <x:f>'Daily inputs'!K168</x:f>
        <x:v>0</x:v>
      </x:c>
      <x:c r="L168" s="2" t="n">
        <x:f>MIN(F168,G168+H168-I168)</x:f>
        <x:v>102</x:v>
      </x:c>
      <x:c r="M168" s="2" t="n">
        <x:f>G168+H168-L168-I168</x:f>
        <x:v>15</x:v>
      </x:c>
      <x:c r="N168" s="2" t="n">
        <x:f>F168-L168</x:f>
        <x:v>0</x:v>
      </x:c>
      <x:c r="O168" s="2" t="n">
        <x:f>N168-J168</x:f>
        <x:v>0</x:v>
      </x:c>
      <x:c r="P168" s="2" t="n">
        <x:f>L168+I168</x:f>
        <x:v>102</x:v>
      </x:c>
      <x:c r="Q168" s="8" t="n">
        <x:f>P168*E168</x:f>
        <x:v>357</x:v>
      </x:c>
      <x:c r="R168" s="8" t="n">
        <x:f>I168*E168</x:f>
        <x:v>0</x:v>
      </x:c>
      <x:c r="S168" s="8" t="n">
        <x:f>O168*E168</x:f>
        <x:v>0</x:v>
      </x:c>
      <x:c r="T168" s="2" t="str">
        <x:f>IF(A168&lt;DATE(2025,12,1),"",IF(D168="Closed",0,ROUND(AVERAGEIFS('Daily inputs'!$F$2:$F$367,'Daily inputs'!$B$2:$B$367,B168,'Daily inputs'!$C$2:$C$367,C168,'Daily inputs'!$D$2:$D$367,"Training"),0)))</x:f>
      </x:c>
      <x:c r="U168" s="2" t="str">
        <x:f>IF(A168&lt;DATE(2025,12,1),"",ROUND(T168*IF(D168="Christmas",Notes!$B$9,Notes!$B$8),0))</x:f>
      </x:c>
      <x:c r="V168" s="2" t="str">
        <x:f>IF(A168&lt;DATE(2025,12,1),"",ABS(T168-F168))</x:f>
      </x:c>
      <x:c r="W168" s="2" t="str">
        <x:f>IF(A168&lt;DATE(2025,12,1),"",ABS(U168-F168))</x:f>
      </x:c>
      <x:c r="X168" s="2" t="str">
        <x:f>IF(A168&lt;DATE(2025,12,1),"",T168-F168)</x:f>
      </x:c>
      <x:c r="Y168" s="2" t="str">
        <x:f>IF(A168&lt;DATE(2025,12,1),"",U168-F168)</x:f>
      </x:c>
      <x:c r="Z168" s="2" t="n">
        <x:f>IF(N168&gt;0,1,0)</x:f>
        <x:v>0</x:v>
      </x:c>
    </x:row>
    <x:row r="169" ht="21" customHeight="1">
      <x:c r="A169" s="6" t="n">
        <x:f>'Daily inputs'!A169</x:f>
        <x:v>45989</x:v>
      </x:c>
      <x:c r="B169" s="2" t="str">
        <x:f>'Daily inputs'!B169</x:f>
        <x:v>I06</x:v>
      </x:c>
      <x:c r="C169" s="2" t="n">
        <x:f>'Daily inputs'!C169</x:f>
        <x:v>5</x:v>
      </x:c>
      <x:c r="D169" s="2" t="str">
        <x:f>'Daily inputs'!D169</x:f>
        <x:v>Training</x:v>
      </x:c>
      <x:c r="E169" s="7" t="n">
        <x:f>'Daily inputs'!E169</x:f>
        <x:v>3</x:v>
      </x:c>
      <x:c r="F169" s="2" t="n">
        <x:f>'Daily inputs'!F169</x:f>
        <x:v>38</x:v>
      </x:c>
      <x:c r="G169" s="2" t="n">
        <x:f>'Daily inputs'!G169</x:f>
        <x:v>5</x:v>
      </x:c>
      <x:c r="H169" s="2" t="n">
        <x:f>'Daily inputs'!H169</x:f>
        <x:v>39</x:v>
      </x:c>
      <x:c r="I169" s="2" t="n">
        <x:f>'Daily inputs'!I169</x:f>
        <x:v>0</x:v>
      </x:c>
      <x:c r="J169" s="2" t="n">
        <x:f>'Daily inputs'!J169</x:f>
        <x:v>0</x:v>
      </x:c>
      <x:c r="K169" s="2" t="n">
        <x:f>'Daily inputs'!K169</x:f>
        <x:v>0</x:v>
      </x:c>
      <x:c r="L169" s="2" t="n">
        <x:f>MIN(F169,G169+H169-I169)</x:f>
        <x:v>38</x:v>
      </x:c>
      <x:c r="M169" s="2" t="n">
        <x:f>G169+H169-L169-I169</x:f>
        <x:v>6</x:v>
      </x:c>
      <x:c r="N169" s="2" t="n">
        <x:f>F169-L169</x:f>
        <x:v>0</x:v>
      </x:c>
      <x:c r="O169" s="2" t="n">
        <x:f>N169-J169</x:f>
        <x:v>0</x:v>
      </x:c>
      <x:c r="P169" s="2" t="n">
        <x:f>L169+I169</x:f>
        <x:v>38</x:v>
      </x:c>
      <x:c r="Q169" s="8" t="n">
        <x:f>P169*E169</x:f>
        <x:v>114</x:v>
      </x:c>
      <x:c r="R169" s="8" t="n">
        <x:f>I169*E169</x:f>
        <x:v>0</x:v>
      </x:c>
      <x:c r="S169" s="8" t="n">
        <x:f>O169*E169</x:f>
        <x:v>0</x:v>
      </x:c>
      <x:c r="T169" s="2" t="str">
        <x:f>IF(A169&lt;DATE(2025,12,1),"",IF(D169="Closed",0,ROUND(AVERAGEIFS('Daily inputs'!$F$2:$F$367,'Daily inputs'!$B$2:$B$367,B169,'Daily inputs'!$C$2:$C$367,C169,'Daily inputs'!$D$2:$D$367,"Training"),0)))</x:f>
      </x:c>
      <x:c r="U169" s="2" t="str">
        <x:f>IF(A169&lt;DATE(2025,12,1),"",ROUND(T169*IF(D169="Christmas",Notes!$B$9,Notes!$B$8),0))</x:f>
      </x:c>
      <x:c r="V169" s="2" t="str">
        <x:f>IF(A169&lt;DATE(2025,12,1),"",ABS(T169-F169))</x:f>
      </x:c>
      <x:c r="W169" s="2" t="str">
        <x:f>IF(A169&lt;DATE(2025,12,1),"",ABS(U169-F169))</x:f>
      </x:c>
      <x:c r="X169" s="2" t="str">
        <x:f>IF(A169&lt;DATE(2025,12,1),"",T169-F169)</x:f>
      </x:c>
      <x:c r="Y169" s="2" t="str">
        <x:f>IF(A169&lt;DATE(2025,12,1),"",U169-F169)</x:f>
      </x:c>
      <x:c r="Z169" s="2" t="n">
        <x:f>IF(N169&gt;0,1,0)</x:f>
        <x:v>0</x:v>
      </x:c>
    </x:row>
    <x:row r="170" ht="21" customHeight="1">
      <x:c r="A170" s="6" t="n">
        <x:f>'Daily inputs'!A170</x:f>
        <x:v>45990</x:v>
      </x:c>
      <x:c r="B170" s="2" t="str">
        <x:f>'Daily inputs'!B170</x:f>
        <x:v>I01</x:v>
      </x:c>
      <x:c r="C170" s="2" t="n">
        <x:f>'Daily inputs'!C170</x:f>
        <x:v>6</x:v>
      </x:c>
      <x:c r="D170" s="2" t="str">
        <x:f>'Daily inputs'!D170</x:f>
        <x:v>Training</x:v>
      </x:c>
      <x:c r="E170" s="7" t="n">
        <x:f>'Daily inputs'!E170</x:f>
        <x:v>8.5</x:v>
      </x:c>
      <x:c r="F170" s="2" t="n">
        <x:f>'Daily inputs'!F170</x:f>
        <x:v>89</x:v>
      </x:c>
      <x:c r="G170" s="2" t="n">
        <x:f>'Daily inputs'!G170</x:f>
        <x:v>12</x:v>
      </x:c>
      <x:c r="H170" s="2" t="n">
        <x:f>'Daily inputs'!H170</x:f>
        <x:v>90</x:v>
      </x:c>
      <x:c r="I170" s="2" t="n">
        <x:f>'Daily inputs'!I170</x:f>
        <x:v>0</x:v>
      </x:c>
      <x:c r="J170" s="2" t="n">
        <x:f>'Daily inputs'!J170</x:f>
        <x:v>0</x:v>
      </x:c>
      <x:c r="K170" s="2" t="n">
        <x:f>'Daily inputs'!K170</x:f>
        <x:v>0</x:v>
      </x:c>
      <x:c r="L170" s="2" t="n">
        <x:f>MIN(F170,G170+H170-I170)</x:f>
        <x:v>89</x:v>
      </x:c>
      <x:c r="M170" s="2" t="n">
        <x:f>G170+H170-L170-I170</x:f>
        <x:v>13</x:v>
      </x:c>
      <x:c r="N170" s="2" t="n">
        <x:f>F170-L170</x:f>
        <x:v>0</x:v>
      </x:c>
      <x:c r="O170" s="2" t="n">
        <x:f>N170-J170</x:f>
        <x:v>0</x:v>
      </x:c>
      <x:c r="P170" s="2" t="n">
        <x:f>L170+I170</x:f>
        <x:v>89</x:v>
      </x:c>
      <x:c r="Q170" s="8" t="n">
        <x:f>P170*E170</x:f>
        <x:v>756.5</x:v>
      </x:c>
      <x:c r="R170" s="8" t="n">
        <x:f>I170*E170</x:f>
        <x:v>0</x:v>
      </x:c>
      <x:c r="S170" s="8" t="n">
        <x:f>O170*E170</x:f>
        <x:v>0</x:v>
      </x:c>
      <x:c r="T170" s="2" t="str">
        <x:f>IF(A170&lt;DATE(2025,12,1),"",IF(D170="Closed",0,ROUND(AVERAGEIFS('Daily inputs'!$F$2:$F$367,'Daily inputs'!$B$2:$B$367,B170,'Daily inputs'!$C$2:$C$367,C170,'Daily inputs'!$D$2:$D$367,"Training"),0)))</x:f>
      </x:c>
      <x:c r="U170" s="2" t="str">
        <x:f>IF(A170&lt;DATE(2025,12,1),"",ROUND(T170*IF(D170="Christmas",Notes!$B$9,Notes!$B$8),0))</x:f>
      </x:c>
      <x:c r="V170" s="2" t="str">
        <x:f>IF(A170&lt;DATE(2025,12,1),"",ABS(T170-F170))</x:f>
      </x:c>
      <x:c r="W170" s="2" t="str">
        <x:f>IF(A170&lt;DATE(2025,12,1),"",ABS(U170-F170))</x:f>
      </x:c>
      <x:c r="X170" s="2" t="str">
        <x:f>IF(A170&lt;DATE(2025,12,1),"",T170-F170)</x:f>
      </x:c>
      <x:c r="Y170" s="2" t="str">
        <x:f>IF(A170&lt;DATE(2025,12,1),"",U170-F170)</x:f>
      </x:c>
      <x:c r="Z170" s="2" t="n">
        <x:f>IF(N170&gt;0,1,0)</x:f>
        <x:v>0</x:v>
      </x:c>
    </x:row>
    <x:row r="171" ht="21" customHeight="1">
      <x:c r="A171" s="6" t="n">
        <x:f>'Daily inputs'!A171</x:f>
        <x:v>45990</x:v>
      </x:c>
      <x:c r="B171" s="2" t="str">
        <x:f>'Daily inputs'!B171</x:f>
        <x:v>I02</x:v>
      </x:c>
      <x:c r="C171" s="2" t="n">
        <x:f>'Daily inputs'!C171</x:f>
        <x:v>6</x:v>
      </x:c>
      <x:c r="D171" s="2" t="str">
        <x:f>'Daily inputs'!D171</x:f>
        <x:v>Training</x:v>
      </x:c>
      <x:c r="E171" s="7" t="n">
        <x:f>'Daily inputs'!E171</x:f>
        <x:v>8</x:v>
      </x:c>
      <x:c r="F171" s="2" t="n">
        <x:f>'Daily inputs'!F171</x:f>
        <x:v>75</x:v>
      </x:c>
      <x:c r="G171" s="2" t="n">
        <x:f>'Daily inputs'!G171</x:f>
        <x:v>10</x:v>
      </x:c>
      <x:c r="H171" s="2" t="n">
        <x:f>'Daily inputs'!H171</x:f>
        <x:v>76</x:v>
      </x:c>
      <x:c r="I171" s="2" t="n">
        <x:f>'Daily inputs'!I171</x:f>
        <x:v>0</x:v>
      </x:c>
      <x:c r="J171" s="2" t="n">
        <x:f>'Daily inputs'!J171</x:f>
        <x:v>0</x:v>
      </x:c>
      <x:c r="K171" s="2" t="n">
        <x:f>'Daily inputs'!K171</x:f>
        <x:v>0</x:v>
      </x:c>
      <x:c r="L171" s="2" t="n">
        <x:f>MIN(F171,G171+H171-I171)</x:f>
        <x:v>75</x:v>
      </x:c>
      <x:c r="M171" s="2" t="n">
        <x:f>G171+H171-L171-I171</x:f>
        <x:v>11</x:v>
      </x:c>
      <x:c r="N171" s="2" t="n">
        <x:f>F171-L171</x:f>
        <x:v>0</x:v>
      </x:c>
      <x:c r="O171" s="2" t="n">
        <x:f>N171-J171</x:f>
        <x:v>0</x:v>
      </x:c>
      <x:c r="P171" s="2" t="n">
        <x:f>L171+I171</x:f>
        <x:v>75</x:v>
      </x:c>
      <x:c r="Q171" s="8" t="n">
        <x:f>P171*E171</x:f>
        <x:v>600</x:v>
      </x:c>
      <x:c r="R171" s="8" t="n">
        <x:f>I171*E171</x:f>
        <x:v>0</x:v>
      </x:c>
      <x:c r="S171" s="8" t="n">
        <x:f>O171*E171</x:f>
        <x:v>0</x:v>
      </x:c>
      <x:c r="T171" s="2" t="str">
        <x:f>IF(A171&lt;DATE(2025,12,1),"",IF(D171="Closed",0,ROUND(AVERAGEIFS('Daily inputs'!$F$2:$F$367,'Daily inputs'!$B$2:$B$367,B171,'Daily inputs'!$C$2:$C$367,C171,'Daily inputs'!$D$2:$D$367,"Training"),0)))</x:f>
      </x:c>
      <x:c r="U171" s="2" t="str">
        <x:f>IF(A171&lt;DATE(2025,12,1),"",ROUND(T171*IF(D171="Christmas",Notes!$B$9,Notes!$B$8),0))</x:f>
      </x:c>
      <x:c r="V171" s="2" t="str">
        <x:f>IF(A171&lt;DATE(2025,12,1),"",ABS(T171-F171))</x:f>
      </x:c>
      <x:c r="W171" s="2" t="str">
        <x:f>IF(A171&lt;DATE(2025,12,1),"",ABS(U171-F171))</x:f>
      </x:c>
      <x:c r="X171" s="2" t="str">
        <x:f>IF(A171&lt;DATE(2025,12,1),"",T171-F171)</x:f>
      </x:c>
      <x:c r="Y171" s="2" t="str">
        <x:f>IF(A171&lt;DATE(2025,12,1),"",U171-F171)</x:f>
      </x:c>
      <x:c r="Z171" s="2" t="n">
        <x:f>IF(N171&gt;0,1,0)</x:f>
        <x:v>0</x:v>
      </x:c>
    </x:row>
    <x:row r="172" ht="21" customHeight="1">
      <x:c r="A172" s="6" t="n">
        <x:f>'Daily inputs'!A172</x:f>
        <x:v>45990</x:v>
      </x:c>
      <x:c r="B172" s="2" t="str">
        <x:f>'Daily inputs'!B172</x:f>
        <x:v>I03</x:v>
      </x:c>
      <x:c r="C172" s="2" t="n">
        <x:f>'Daily inputs'!C172</x:f>
        <x:v>6</x:v>
      </x:c>
      <x:c r="D172" s="2" t="str">
        <x:f>'Daily inputs'!D172</x:f>
        <x:v>Training</x:v>
      </x:c>
      <x:c r="E172" s="7" t="n">
        <x:f>'Daily inputs'!E172</x:f>
        <x:v>7.5</x:v>
      </x:c>
      <x:c r="F172" s="2" t="n">
        <x:f>'Daily inputs'!F172</x:f>
        <x:v>43</x:v>
      </x:c>
      <x:c r="G172" s="2" t="n">
        <x:f>'Daily inputs'!G172</x:f>
        <x:v>6</x:v>
      </x:c>
      <x:c r="H172" s="2" t="n">
        <x:f>'Daily inputs'!H172</x:f>
        <x:v>43</x:v>
      </x:c>
      <x:c r="I172" s="2" t="n">
        <x:f>'Daily inputs'!I172</x:f>
        <x:v>0</x:v>
      </x:c>
      <x:c r="J172" s="2" t="n">
        <x:f>'Daily inputs'!J172</x:f>
        <x:v>0</x:v>
      </x:c>
      <x:c r="K172" s="2" t="n">
        <x:f>'Daily inputs'!K172</x:f>
        <x:v>0</x:v>
      </x:c>
      <x:c r="L172" s="2" t="n">
        <x:f>MIN(F172,G172+H172-I172)</x:f>
        <x:v>43</x:v>
      </x:c>
      <x:c r="M172" s="2" t="n">
        <x:f>G172+H172-L172-I172</x:f>
        <x:v>6</x:v>
      </x:c>
      <x:c r="N172" s="2" t="n">
        <x:f>F172-L172</x:f>
        <x:v>0</x:v>
      </x:c>
      <x:c r="O172" s="2" t="n">
        <x:f>N172-J172</x:f>
        <x:v>0</x:v>
      </x:c>
      <x:c r="P172" s="2" t="n">
        <x:f>L172+I172</x:f>
        <x:v>43</x:v>
      </x:c>
      <x:c r="Q172" s="8" t="n">
        <x:f>P172*E172</x:f>
        <x:v>322.5</x:v>
      </x:c>
      <x:c r="R172" s="8" t="n">
        <x:f>I172*E172</x:f>
        <x:v>0</x:v>
      </x:c>
      <x:c r="S172" s="8" t="n">
        <x:f>O172*E172</x:f>
        <x:v>0</x:v>
      </x:c>
      <x:c r="T172" s="2" t="str">
        <x:f>IF(A172&lt;DATE(2025,12,1),"",IF(D172="Closed",0,ROUND(AVERAGEIFS('Daily inputs'!$F$2:$F$367,'Daily inputs'!$B$2:$B$367,B172,'Daily inputs'!$C$2:$C$367,C172,'Daily inputs'!$D$2:$D$367,"Training"),0)))</x:f>
      </x:c>
      <x:c r="U172" s="2" t="str">
        <x:f>IF(A172&lt;DATE(2025,12,1),"",ROUND(T172*IF(D172="Christmas",Notes!$B$9,Notes!$B$8),0))</x:f>
      </x:c>
      <x:c r="V172" s="2" t="str">
        <x:f>IF(A172&lt;DATE(2025,12,1),"",ABS(T172-F172))</x:f>
      </x:c>
      <x:c r="W172" s="2" t="str">
        <x:f>IF(A172&lt;DATE(2025,12,1),"",ABS(U172-F172))</x:f>
      </x:c>
      <x:c r="X172" s="2" t="str">
        <x:f>IF(A172&lt;DATE(2025,12,1),"",T172-F172)</x:f>
      </x:c>
      <x:c r="Y172" s="2" t="str">
        <x:f>IF(A172&lt;DATE(2025,12,1),"",U172-F172)</x:f>
      </x:c>
      <x:c r="Z172" s="2" t="n">
        <x:f>IF(N172&gt;0,1,0)</x:f>
        <x:v>0</x:v>
      </x:c>
    </x:row>
    <x:row r="173" ht="21" customHeight="1">
      <x:c r="A173" s="6" t="n">
        <x:f>'Daily inputs'!A173</x:f>
        <x:v>45990</x:v>
      </x:c>
      <x:c r="B173" s="2" t="str">
        <x:f>'Daily inputs'!B173</x:f>
        <x:v>I04</x:v>
      </x:c>
      <x:c r="C173" s="2" t="n">
        <x:f>'Daily inputs'!C173</x:f>
        <x:v>6</x:v>
      </x:c>
      <x:c r="D173" s="2" t="str">
        <x:f>'Daily inputs'!D173</x:f>
        <x:v>Training</x:v>
      </x:c>
      <x:c r="E173" s="7" t="n">
        <x:f>'Daily inputs'!E173</x:f>
        <x:v>9</x:v>
      </x:c>
      <x:c r="F173" s="2" t="n">
        <x:f>'Daily inputs'!F173</x:f>
        <x:v>54</x:v>
      </x:c>
      <x:c r="G173" s="2" t="n">
        <x:f>'Daily inputs'!G173</x:f>
        <x:v>7</x:v>
      </x:c>
      <x:c r="H173" s="2" t="n">
        <x:f>'Daily inputs'!H173</x:f>
        <x:v>55</x:v>
      </x:c>
      <x:c r="I173" s="2" t="n">
        <x:f>'Daily inputs'!I173</x:f>
        <x:v>0</x:v>
      </x:c>
      <x:c r="J173" s="2" t="n">
        <x:f>'Daily inputs'!J173</x:f>
        <x:v>0</x:v>
      </x:c>
      <x:c r="K173" s="2" t="n">
        <x:f>'Daily inputs'!K173</x:f>
        <x:v>0</x:v>
      </x:c>
      <x:c r="L173" s="2" t="n">
        <x:f>MIN(F173,G173+H173-I173)</x:f>
        <x:v>54</x:v>
      </x:c>
      <x:c r="M173" s="2" t="n">
        <x:f>G173+H173-L173-I173</x:f>
        <x:v>8</x:v>
      </x:c>
      <x:c r="N173" s="2" t="n">
        <x:f>F173-L173</x:f>
        <x:v>0</x:v>
      </x:c>
      <x:c r="O173" s="2" t="n">
        <x:f>N173-J173</x:f>
        <x:v>0</x:v>
      </x:c>
      <x:c r="P173" s="2" t="n">
        <x:f>L173+I173</x:f>
        <x:v>54</x:v>
      </x:c>
      <x:c r="Q173" s="8" t="n">
        <x:f>P173*E173</x:f>
        <x:v>486</x:v>
      </x:c>
      <x:c r="R173" s="8" t="n">
        <x:f>I173*E173</x:f>
        <x:v>0</x:v>
      </x:c>
      <x:c r="S173" s="8" t="n">
        <x:f>O173*E173</x:f>
        <x:v>0</x:v>
      </x:c>
      <x:c r="T173" s="2" t="str">
        <x:f>IF(A173&lt;DATE(2025,12,1),"",IF(D173="Closed",0,ROUND(AVERAGEIFS('Daily inputs'!$F$2:$F$367,'Daily inputs'!$B$2:$B$367,B173,'Daily inputs'!$C$2:$C$367,C173,'Daily inputs'!$D$2:$D$367,"Training"),0)))</x:f>
      </x:c>
      <x:c r="U173" s="2" t="str">
        <x:f>IF(A173&lt;DATE(2025,12,1),"",ROUND(T173*IF(D173="Christmas",Notes!$B$9,Notes!$B$8),0))</x:f>
      </x:c>
      <x:c r="V173" s="2" t="str">
        <x:f>IF(A173&lt;DATE(2025,12,1),"",ABS(T173-F173))</x:f>
      </x:c>
      <x:c r="W173" s="2" t="str">
        <x:f>IF(A173&lt;DATE(2025,12,1),"",ABS(U173-F173))</x:f>
      </x:c>
      <x:c r="X173" s="2" t="str">
        <x:f>IF(A173&lt;DATE(2025,12,1),"",T173-F173)</x:f>
      </x:c>
      <x:c r="Y173" s="2" t="str">
        <x:f>IF(A173&lt;DATE(2025,12,1),"",U173-F173)</x:f>
      </x:c>
      <x:c r="Z173" s="2" t="n">
        <x:f>IF(N173&gt;0,1,0)</x:f>
        <x:v>0</x:v>
      </x:c>
    </x:row>
    <x:row r="174" ht="21" customHeight="1">
      <x:c r="A174" s="6" t="n">
        <x:f>'Daily inputs'!A174</x:f>
        <x:v>45990</x:v>
      </x:c>
      <x:c r="B174" s="2" t="str">
        <x:f>'Daily inputs'!B174</x:f>
        <x:v>I05</x:v>
      </x:c>
      <x:c r="C174" s="2" t="n">
        <x:f>'Daily inputs'!C174</x:f>
        <x:v>6</x:v>
      </x:c>
      <x:c r="D174" s="2" t="str">
        <x:f>'Daily inputs'!D174</x:f>
        <x:v>Training</x:v>
      </x:c>
      <x:c r="E174" s="7" t="n">
        <x:f>'Daily inputs'!E174</x:f>
        <x:v>3.5</x:v>
      </x:c>
      <x:c r="F174" s="2" t="n">
        <x:f>'Daily inputs'!F174</x:f>
        <x:v>101</x:v>
      </x:c>
      <x:c r="G174" s="2" t="n">
        <x:f>'Daily inputs'!G174</x:f>
        <x:v>15</x:v>
      </x:c>
      <x:c r="H174" s="2" t="n">
        <x:f>'Daily inputs'!H174</x:f>
        <x:v>101</x:v>
      </x:c>
      <x:c r="I174" s="2" t="n">
        <x:f>'Daily inputs'!I174</x:f>
        <x:v>0</x:v>
      </x:c>
      <x:c r="J174" s="2" t="n">
        <x:f>'Daily inputs'!J174</x:f>
        <x:v>0</x:v>
      </x:c>
      <x:c r="K174" s="2" t="n">
        <x:f>'Daily inputs'!K174</x:f>
        <x:v>0</x:v>
      </x:c>
      <x:c r="L174" s="2" t="n">
        <x:f>MIN(F174,G174+H174-I174)</x:f>
        <x:v>101</x:v>
      </x:c>
      <x:c r="M174" s="2" t="n">
        <x:f>G174+H174-L174-I174</x:f>
        <x:v>15</x:v>
      </x:c>
      <x:c r="N174" s="2" t="n">
        <x:f>F174-L174</x:f>
        <x:v>0</x:v>
      </x:c>
      <x:c r="O174" s="2" t="n">
        <x:f>N174-J174</x:f>
        <x:v>0</x:v>
      </x:c>
      <x:c r="P174" s="2" t="n">
        <x:f>L174+I174</x:f>
        <x:v>101</x:v>
      </x:c>
      <x:c r="Q174" s="8" t="n">
        <x:f>P174*E174</x:f>
        <x:v>353.5</x:v>
      </x:c>
      <x:c r="R174" s="8" t="n">
        <x:f>I174*E174</x:f>
        <x:v>0</x:v>
      </x:c>
      <x:c r="S174" s="8" t="n">
        <x:f>O174*E174</x:f>
        <x:v>0</x:v>
      </x:c>
      <x:c r="T174" s="2" t="str">
        <x:f>IF(A174&lt;DATE(2025,12,1),"",IF(D174="Closed",0,ROUND(AVERAGEIFS('Daily inputs'!$F$2:$F$367,'Daily inputs'!$B$2:$B$367,B174,'Daily inputs'!$C$2:$C$367,C174,'Daily inputs'!$D$2:$D$367,"Training"),0)))</x:f>
      </x:c>
      <x:c r="U174" s="2" t="str">
        <x:f>IF(A174&lt;DATE(2025,12,1),"",ROUND(T174*IF(D174="Christmas",Notes!$B$9,Notes!$B$8),0))</x:f>
      </x:c>
      <x:c r="V174" s="2" t="str">
        <x:f>IF(A174&lt;DATE(2025,12,1),"",ABS(T174-F174))</x:f>
      </x:c>
      <x:c r="W174" s="2" t="str">
        <x:f>IF(A174&lt;DATE(2025,12,1),"",ABS(U174-F174))</x:f>
      </x:c>
      <x:c r="X174" s="2" t="str">
        <x:f>IF(A174&lt;DATE(2025,12,1),"",T174-F174)</x:f>
      </x:c>
      <x:c r="Y174" s="2" t="str">
        <x:f>IF(A174&lt;DATE(2025,12,1),"",U174-F174)</x:f>
      </x:c>
      <x:c r="Z174" s="2" t="n">
        <x:f>IF(N174&gt;0,1,0)</x:f>
        <x:v>0</x:v>
      </x:c>
    </x:row>
    <x:row r="175" ht="21" customHeight="1">
      <x:c r="A175" s="6" t="n">
        <x:f>'Daily inputs'!A175</x:f>
        <x:v>45990</x:v>
      </x:c>
      <x:c r="B175" s="2" t="str">
        <x:f>'Daily inputs'!B175</x:f>
        <x:v>I06</x:v>
      </x:c>
      <x:c r="C175" s="2" t="n">
        <x:f>'Daily inputs'!C175</x:f>
        <x:v>6</x:v>
      </x:c>
      <x:c r="D175" s="2" t="str">
        <x:f>'Daily inputs'!D175</x:f>
        <x:v>Training</x:v>
      </x:c>
      <x:c r="E175" s="7" t="n">
        <x:f>'Daily inputs'!E175</x:f>
        <x:v>3</x:v>
      </x:c>
      <x:c r="F175" s="2" t="n">
        <x:f>'Daily inputs'!F175</x:f>
        <x:v>40</x:v>
      </x:c>
      <x:c r="G175" s="2" t="n">
        <x:f>'Daily inputs'!G175</x:f>
        <x:v>6</x:v>
      </x:c>
      <x:c r="H175" s="2" t="n">
        <x:f>'Daily inputs'!H175</x:f>
        <x:v>40</x:v>
      </x:c>
      <x:c r="I175" s="2" t="n">
        <x:f>'Daily inputs'!I175</x:f>
        <x:v>0</x:v>
      </x:c>
      <x:c r="J175" s="2" t="n">
        <x:f>'Daily inputs'!J175</x:f>
        <x:v>0</x:v>
      </x:c>
      <x:c r="K175" s="2" t="n">
        <x:f>'Daily inputs'!K175</x:f>
        <x:v>0</x:v>
      </x:c>
      <x:c r="L175" s="2" t="n">
        <x:f>MIN(F175,G175+H175-I175)</x:f>
        <x:v>40</x:v>
      </x:c>
      <x:c r="M175" s="2" t="n">
        <x:f>G175+H175-L175-I175</x:f>
        <x:v>6</x:v>
      </x:c>
      <x:c r="N175" s="2" t="n">
        <x:f>F175-L175</x:f>
        <x:v>0</x:v>
      </x:c>
      <x:c r="O175" s="2" t="n">
        <x:f>N175-J175</x:f>
        <x:v>0</x:v>
      </x:c>
      <x:c r="P175" s="2" t="n">
        <x:f>L175+I175</x:f>
        <x:v>40</x:v>
      </x:c>
      <x:c r="Q175" s="8" t="n">
        <x:f>P175*E175</x:f>
        <x:v>120</x:v>
      </x:c>
      <x:c r="R175" s="8" t="n">
        <x:f>I175*E175</x:f>
        <x:v>0</x:v>
      </x:c>
      <x:c r="S175" s="8" t="n">
        <x:f>O175*E175</x:f>
        <x:v>0</x:v>
      </x:c>
      <x:c r="T175" s="2" t="str">
        <x:f>IF(A175&lt;DATE(2025,12,1),"",IF(D175="Closed",0,ROUND(AVERAGEIFS('Daily inputs'!$F$2:$F$367,'Daily inputs'!$B$2:$B$367,B175,'Daily inputs'!$C$2:$C$367,C175,'Daily inputs'!$D$2:$D$367,"Training"),0)))</x:f>
      </x:c>
      <x:c r="U175" s="2" t="str">
        <x:f>IF(A175&lt;DATE(2025,12,1),"",ROUND(T175*IF(D175="Christmas",Notes!$B$9,Notes!$B$8),0))</x:f>
      </x:c>
      <x:c r="V175" s="2" t="str">
        <x:f>IF(A175&lt;DATE(2025,12,1),"",ABS(T175-F175))</x:f>
      </x:c>
      <x:c r="W175" s="2" t="str">
        <x:f>IF(A175&lt;DATE(2025,12,1),"",ABS(U175-F175))</x:f>
      </x:c>
      <x:c r="X175" s="2" t="str">
        <x:f>IF(A175&lt;DATE(2025,12,1),"",T175-F175)</x:f>
      </x:c>
      <x:c r="Y175" s="2" t="str">
        <x:f>IF(A175&lt;DATE(2025,12,1),"",U175-F175)</x:f>
      </x:c>
      <x:c r="Z175" s="2" t="n">
        <x:f>IF(N175&gt;0,1,0)</x:f>
        <x:v>0</x:v>
      </x:c>
    </x:row>
    <x:row r="176" ht="21" customHeight="1">
      <x:c r="A176" s="6" t="n">
        <x:f>'Daily inputs'!A176</x:f>
        <x:v>45991</x:v>
      </x:c>
      <x:c r="B176" s="2" t="str">
        <x:f>'Daily inputs'!B176</x:f>
        <x:v>I01</x:v>
      </x:c>
      <x:c r="C176" s="2" t="n">
        <x:f>'Daily inputs'!C176</x:f>
        <x:v>7</x:v>
      </x:c>
      <x:c r="D176" s="2" t="str">
        <x:f>'Daily inputs'!D176</x:f>
        <x:v>Training</x:v>
      </x:c>
      <x:c r="E176" s="7" t="n">
        <x:f>'Daily inputs'!E176</x:f>
        <x:v>8.5</x:v>
      </x:c>
      <x:c r="F176" s="2" t="n">
        <x:f>'Daily inputs'!F176</x:f>
        <x:v>80</x:v>
      </x:c>
      <x:c r="G176" s="2" t="n">
        <x:f>'Daily inputs'!G176</x:f>
        <x:v>13</x:v>
      </x:c>
      <x:c r="H176" s="2" t="n">
        <x:f>'Daily inputs'!H176</x:f>
        <x:v>79</x:v>
      </x:c>
      <x:c r="I176" s="2" t="n">
        <x:f>'Daily inputs'!I176</x:f>
        <x:v>0</x:v>
      </x:c>
      <x:c r="J176" s="2" t="n">
        <x:f>'Daily inputs'!J176</x:f>
        <x:v>0</x:v>
      </x:c>
      <x:c r="K176" s="2" t="n">
        <x:f>'Daily inputs'!K176</x:f>
        <x:v>0</x:v>
      </x:c>
      <x:c r="L176" s="2" t="n">
        <x:f>MIN(F176,G176+H176-I176)</x:f>
        <x:v>80</x:v>
      </x:c>
      <x:c r="M176" s="2" t="n">
        <x:f>G176+H176-L176-I176</x:f>
        <x:v>12</x:v>
      </x:c>
      <x:c r="N176" s="2" t="n">
        <x:f>F176-L176</x:f>
        <x:v>0</x:v>
      </x:c>
      <x:c r="O176" s="2" t="n">
        <x:f>N176-J176</x:f>
        <x:v>0</x:v>
      </x:c>
      <x:c r="P176" s="2" t="n">
        <x:f>L176+I176</x:f>
        <x:v>80</x:v>
      </x:c>
      <x:c r="Q176" s="8" t="n">
        <x:f>P176*E176</x:f>
        <x:v>680</x:v>
      </x:c>
      <x:c r="R176" s="8" t="n">
        <x:f>I176*E176</x:f>
        <x:v>0</x:v>
      </x:c>
      <x:c r="S176" s="8" t="n">
        <x:f>O176*E176</x:f>
        <x:v>0</x:v>
      </x:c>
      <x:c r="T176" s="2" t="str">
        <x:f>IF(A176&lt;DATE(2025,12,1),"",IF(D176="Closed",0,ROUND(AVERAGEIFS('Daily inputs'!$F$2:$F$367,'Daily inputs'!$B$2:$B$367,B176,'Daily inputs'!$C$2:$C$367,C176,'Daily inputs'!$D$2:$D$367,"Training"),0)))</x:f>
      </x:c>
      <x:c r="U176" s="2" t="str">
        <x:f>IF(A176&lt;DATE(2025,12,1),"",ROUND(T176*IF(D176="Christmas",Notes!$B$9,Notes!$B$8),0))</x:f>
      </x:c>
      <x:c r="V176" s="2" t="str">
        <x:f>IF(A176&lt;DATE(2025,12,1),"",ABS(T176-F176))</x:f>
      </x:c>
      <x:c r="W176" s="2" t="str">
        <x:f>IF(A176&lt;DATE(2025,12,1),"",ABS(U176-F176))</x:f>
      </x:c>
      <x:c r="X176" s="2" t="str">
        <x:f>IF(A176&lt;DATE(2025,12,1),"",T176-F176)</x:f>
      </x:c>
      <x:c r="Y176" s="2" t="str">
        <x:f>IF(A176&lt;DATE(2025,12,1),"",U176-F176)</x:f>
      </x:c>
      <x:c r="Z176" s="2" t="n">
        <x:f>IF(N176&gt;0,1,0)</x:f>
        <x:v>0</x:v>
      </x:c>
    </x:row>
    <x:row r="177" ht="21" customHeight="1">
      <x:c r="A177" s="6" t="n">
        <x:f>'Daily inputs'!A177</x:f>
        <x:v>45991</x:v>
      </x:c>
      <x:c r="B177" s="2" t="str">
        <x:f>'Daily inputs'!B177</x:f>
        <x:v>I02</x:v>
      </x:c>
      <x:c r="C177" s="2" t="n">
        <x:f>'Daily inputs'!C177</x:f>
        <x:v>7</x:v>
      </x:c>
      <x:c r="D177" s="2" t="str">
        <x:f>'Daily inputs'!D177</x:f>
        <x:v>Training</x:v>
      </x:c>
      <x:c r="E177" s="7" t="n">
        <x:f>'Daily inputs'!E177</x:f>
        <x:v>8</x:v>
      </x:c>
      <x:c r="F177" s="2" t="n">
        <x:f>'Daily inputs'!F177</x:f>
        <x:v>65</x:v>
      </x:c>
      <x:c r="G177" s="2" t="n">
        <x:f>'Daily inputs'!G177</x:f>
        <x:v>11</x:v>
      </x:c>
      <x:c r="H177" s="2" t="n">
        <x:f>'Daily inputs'!H177</x:f>
        <x:v>64</x:v>
      </x:c>
      <x:c r="I177" s="2" t="n">
        <x:f>'Daily inputs'!I177</x:f>
        <x:v>0</x:v>
      </x:c>
      <x:c r="J177" s="2" t="n">
        <x:f>'Daily inputs'!J177</x:f>
        <x:v>0</x:v>
      </x:c>
      <x:c r="K177" s="2" t="n">
        <x:f>'Daily inputs'!K177</x:f>
        <x:v>0</x:v>
      </x:c>
      <x:c r="L177" s="2" t="n">
        <x:f>MIN(F177,G177+H177-I177)</x:f>
        <x:v>65</x:v>
      </x:c>
      <x:c r="M177" s="2" t="n">
        <x:f>G177+H177-L177-I177</x:f>
        <x:v>10</x:v>
      </x:c>
      <x:c r="N177" s="2" t="n">
        <x:f>F177-L177</x:f>
        <x:v>0</x:v>
      </x:c>
      <x:c r="O177" s="2" t="n">
        <x:f>N177-J177</x:f>
        <x:v>0</x:v>
      </x:c>
      <x:c r="P177" s="2" t="n">
        <x:f>L177+I177</x:f>
        <x:v>65</x:v>
      </x:c>
      <x:c r="Q177" s="8" t="n">
        <x:f>P177*E177</x:f>
        <x:v>520</x:v>
      </x:c>
      <x:c r="R177" s="8" t="n">
        <x:f>I177*E177</x:f>
        <x:v>0</x:v>
      </x:c>
      <x:c r="S177" s="8" t="n">
        <x:f>O177*E177</x:f>
        <x:v>0</x:v>
      </x:c>
      <x:c r="T177" s="2" t="str">
        <x:f>IF(A177&lt;DATE(2025,12,1),"",IF(D177="Closed",0,ROUND(AVERAGEIFS('Daily inputs'!$F$2:$F$367,'Daily inputs'!$B$2:$B$367,B177,'Daily inputs'!$C$2:$C$367,C177,'Daily inputs'!$D$2:$D$367,"Training"),0)))</x:f>
      </x:c>
      <x:c r="U177" s="2" t="str">
        <x:f>IF(A177&lt;DATE(2025,12,1),"",ROUND(T177*IF(D177="Christmas",Notes!$B$9,Notes!$B$8),0))</x:f>
      </x:c>
      <x:c r="V177" s="2" t="str">
        <x:f>IF(A177&lt;DATE(2025,12,1),"",ABS(T177-F177))</x:f>
      </x:c>
      <x:c r="W177" s="2" t="str">
        <x:f>IF(A177&lt;DATE(2025,12,1),"",ABS(U177-F177))</x:f>
      </x:c>
      <x:c r="X177" s="2" t="str">
        <x:f>IF(A177&lt;DATE(2025,12,1),"",T177-F177)</x:f>
      </x:c>
      <x:c r="Y177" s="2" t="str">
        <x:f>IF(A177&lt;DATE(2025,12,1),"",U177-F177)</x:f>
      </x:c>
      <x:c r="Z177" s="2" t="n">
        <x:f>IF(N177&gt;0,1,0)</x:f>
        <x:v>0</x:v>
      </x:c>
    </x:row>
    <x:row r="178" ht="21" customHeight="1">
      <x:c r="A178" s="6" t="n">
        <x:f>'Daily inputs'!A178</x:f>
        <x:v>45991</x:v>
      </x:c>
      <x:c r="B178" s="2" t="str">
        <x:f>'Daily inputs'!B178</x:f>
        <x:v>I03</x:v>
      </x:c>
      <x:c r="C178" s="2" t="n">
        <x:f>'Daily inputs'!C178</x:f>
        <x:v>7</x:v>
      </x:c>
      <x:c r="D178" s="2" t="str">
        <x:f>'Daily inputs'!D178</x:f>
        <x:v>Training</x:v>
      </x:c>
      <x:c r="E178" s="7" t="n">
        <x:f>'Daily inputs'!E178</x:f>
        <x:v>7.5</x:v>
      </x:c>
      <x:c r="F178" s="2" t="n">
        <x:f>'Daily inputs'!F178</x:f>
        <x:v>38</x:v>
      </x:c>
      <x:c r="G178" s="2" t="n">
        <x:f>'Daily inputs'!G178</x:f>
        <x:v>6</x:v>
      </x:c>
      <x:c r="H178" s="2" t="n">
        <x:f>'Daily inputs'!H178</x:f>
        <x:v>38</x:v>
      </x:c>
      <x:c r="I178" s="2" t="n">
        <x:f>'Daily inputs'!I178</x:f>
        <x:v>0</x:v>
      </x:c>
      <x:c r="J178" s="2" t="n">
        <x:f>'Daily inputs'!J178</x:f>
        <x:v>0</x:v>
      </x:c>
      <x:c r="K178" s="2" t="n">
        <x:f>'Daily inputs'!K178</x:f>
        <x:v>0</x:v>
      </x:c>
      <x:c r="L178" s="2" t="n">
        <x:f>MIN(F178,G178+H178-I178)</x:f>
        <x:v>38</x:v>
      </x:c>
      <x:c r="M178" s="2" t="n">
        <x:f>G178+H178-L178-I178</x:f>
        <x:v>6</x:v>
      </x:c>
      <x:c r="N178" s="2" t="n">
        <x:f>F178-L178</x:f>
        <x:v>0</x:v>
      </x:c>
      <x:c r="O178" s="2" t="n">
        <x:f>N178-J178</x:f>
        <x:v>0</x:v>
      </x:c>
      <x:c r="P178" s="2" t="n">
        <x:f>L178+I178</x:f>
        <x:v>38</x:v>
      </x:c>
      <x:c r="Q178" s="8" t="n">
        <x:f>P178*E178</x:f>
        <x:v>285</x:v>
      </x:c>
      <x:c r="R178" s="8" t="n">
        <x:f>I178*E178</x:f>
        <x:v>0</x:v>
      </x:c>
      <x:c r="S178" s="8" t="n">
        <x:f>O178*E178</x:f>
        <x:v>0</x:v>
      </x:c>
      <x:c r="T178" s="2" t="str">
        <x:f>IF(A178&lt;DATE(2025,12,1),"",IF(D178="Closed",0,ROUND(AVERAGEIFS('Daily inputs'!$F$2:$F$367,'Daily inputs'!$B$2:$B$367,B178,'Daily inputs'!$C$2:$C$367,C178,'Daily inputs'!$D$2:$D$367,"Training"),0)))</x:f>
      </x:c>
      <x:c r="U178" s="2" t="str">
        <x:f>IF(A178&lt;DATE(2025,12,1),"",ROUND(T178*IF(D178="Christmas",Notes!$B$9,Notes!$B$8),0))</x:f>
      </x:c>
      <x:c r="V178" s="2" t="str">
        <x:f>IF(A178&lt;DATE(2025,12,1),"",ABS(T178-F178))</x:f>
      </x:c>
      <x:c r="W178" s="2" t="str">
        <x:f>IF(A178&lt;DATE(2025,12,1),"",ABS(U178-F178))</x:f>
      </x:c>
      <x:c r="X178" s="2" t="str">
        <x:f>IF(A178&lt;DATE(2025,12,1),"",T178-F178)</x:f>
      </x:c>
      <x:c r="Y178" s="2" t="str">
        <x:f>IF(A178&lt;DATE(2025,12,1),"",U178-F178)</x:f>
      </x:c>
      <x:c r="Z178" s="2" t="n">
        <x:f>IF(N178&gt;0,1,0)</x:f>
        <x:v>0</x:v>
      </x:c>
    </x:row>
    <x:row r="179" ht="21" customHeight="1">
      <x:c r="A179" s="6" t="n">
        <x:f>'Daily inputs'!A179</x:f>
        <x:v>45991</x:v>
      </x:c>
      <x:c r="B179" s="2" t="str">
        <x:f>'Daily inputs'!B179</x:f>
        <x:v>I04</x:v>
      </x:c>
      <x:c r="C179" s="2" t="n">
        <x:f>'Daily inputs'!C179</x:f>
        <x:v>7</x:v>
      </x:c>
      <x:c r="D179" s="2" t="str">
        <x:f>'Daily inputs'!D179</x:f>
        <x:v>Training</x:v>
      </x:c>
      <x:c r="E179" s="7" t="n">
        <x:f>'Daily inputs'!E179</x:f>
        <x:v>9</x:v>
      </x:c>
      <x:c r="F179" s="2" t="n">
        <x:f>'Daily inputs'!F179</x:f>
        <x:v>44</x:v>
      </x:c>
      <x:c r="G179" s="2" t="n">
        <x:f>'Daily inputs'!G179</x:f>
        <x:v>8</x:v>
      </x:c>
      <x:c r="H179" s="2" t="n">
        <x:f>'Daily inputs'!H179</x:f>
        <x:v>43</x:v>
      </x:c>
      <x:c r="I179" s="2" t="n">
        <x:f>'Daily inputs'!I179</x:f>
        <x:v>0</x:v>
      </x:c>
      <x:c r="J179" s="2" t="n">
        <x:f>'Daily inputs'!J179</x:f>
        <x:v>0</x:v>
      </x:c>
      <x:c r="K179" s="2" t="n">
        <x:f>'Daily inputs'!K179</x:f>
        <x:v>0</x:v>
      </x:c>
      <x:c r="L179" s="2" t="n">
        <x:f>MIN(F179,G179+H179-I179)</x:f>
        <x:v>44</x:v>
      </x:c>
      <x:c r="M179" s="2" t="n">
        <x:f>G179+H179-L179-I179</x:f>
        <x:v>7</x:v>
      </x:c>
      <x:c r="N179" s="2" t="n">
        <x:f>F179-L179</x:f>
        <x:v>0</x:v>
      </x:c>
      <x:c r="O179" s="2" t="n">
        <x:f>N179-J179</x:f>
        <x:v>0</x:v>
      </x:c>
      <x:c r="P179" s="2" t="n">
        <x:f>L179+I179</x:f>
        <x:v>44</x:v>
      </x:c>
      <x:c r="Q179" s="8" t="n">
        <x:f>P179*E179</x:f>
        <x:v>396</x:v>
      </x:c>
      <x:c r="R179" s="8" t="n">
        <x:f>I179*E179</x:f>
        <x:v>0</x:v>
      </x:c>
      <x:c r="S179" s="8" t="n">
        <x:f>O179*E179</x:f>
        <x:v>0</x:v>
      </x:c>
      <x:c r="T179" s="2" t="str">
        <x:f>IF(A179&lt;DATE(2025,12,1),"",IF(D179="Closed",0,ROUND(AVERAGEIFS('Daily inputs'!$F$2:$F$367,'Daily inputs'!$B$2:$B$367,B179,'Daily inputs'!$C$2:$C$367,C179,'Daily inputs'!$D$2:$D$367,"Training"),0)))</x:f>
      </x:c>
      <x:c r="U179" s="2" t="str">
        <x:f>IF(A179&lt;DATE(2025,12,1),"",ROUND(T179*IF(D179="Christmas",Notes!$B$9,Notes!$B$8),0))</x:f>
      </x:c>
      <x:c r="V179" s="2" t="str">
        <x:f>IF(A179&lt;DATE(2025,12,1),"",ABS(T179-F179))</x:f>
      </x:c>
      <x:c r="W179" s="2" t="str">
        <x:f>IF(A179&lt;DATE(2025,12,1),"",ABS(U179-F179))</x:f>
      </x:c>
      <x:c r="X179" s="2" t="str">
        <x:f>IF(A179&lt;DATE(2025,12,1),"",T179-F179)</x:f>
      </x:c>
      <x:c r="Y179" s="2" t="str">
        <x:f>IF(A179&lt;DATE(2025,12,1),"",U179-F179)</x:f>
      </x:c>
      <x:c r="Z179" s="2" t="n">
        <x:f>IF(N179&gt;0,1,0)</x:f>
        <x:v>0</x:v>
      </x:c>
    </x:row>
    <x:row r="180" ht="21" customHeight="1">
      <x:c r="A180" s="6" t="n">
        <x:f>'Daily inputs'!A180</x:f>
        <x:v>45991</x:v>
      </x:c>
      <x:c r="B180" s="2" t="str">
        <x:f>'Daily inputs'!B180</x:f>
        <x:v>I05</x:v>
      </x:c>
      <x:c r="C180" s="2" t="n">
        <x:f>'Daily inputs'!C180</x:f>
        <x:v>7</x:v>
      </x:c>
      <x:c r="D180" s="2" t="str">
        <x:f>'Daily inputs'!D180</x:f>
        <x:v>Training</x:v>
      </x:c>
      <x:c r="E180" s="7" t="n">
        <x:f>'Daily inputs'!E180</x:f>
        <x:v>3.5</x:v>
      </x:c>
      <x:c r="F180" s="2" t="n">
        <x:f>'Daily inputs'!F180</x:f>
        <x:v>92</x:v>
      </x:c>
      <x:c r="G180" s="2" t="n">
        <x:f>'Daily inputs'!G180</x:f>
        <x:v>15</x:v>
      </x:c>
      <x:c r="H180" s="2" t="n">
        <x:f>'Daily inputs'!H180</x:f>
        <x:v>91</x:v>
      </x:c>
      <x:c r="I180" s="2" t="n">
        <x:f>'Daily inputs'!I180</x:f>
        <x:v>0</x:v>
      </x:c>
      <x:c r="J180" s="2" t="n">
        <x:f>'Daily inputs'!J180</x:f>
        <x:v>0</x:v>
      </x:c>
      <x:c r="K180" s="2" t="n">
        <x:f>'Daily inputs'!K180</x:f>
        <x:v>0</x:v>
      </x:c>
      <x:c r="L180" s="2" t="n">
        <x:f>MIN(F180,G180+H180-I180)</x:f>
        <x:v>92</x:v>
      </x:c>
      <x:c r="M180" s="2" t="n">
        <x:f>G180+H180-L180-I180</x:f>
        <x:v>14</x:v>
      </x:c>
      <x:c r="N180" s="2" t="n">
        <x:f>F180-L180</x:f>
        <x:v>0</x:v>
      </x:c>
      <x:c r="O180" s="2" t="n">
        <x:f>N180-J180</x:f>
        <x:v>0</x:v>
      </x:c>
      <x:c r="P180" s="2" t="n">
        <x:f>L180+I180</x:f>
        <x:v>92</x:v>
      </x:c>
      <x:c r="Q180" s="8" t="n">
        <x:f>P180*E180</x:f>
        <x:v>322</x:v>
      </x:c>
      <x:c r="R180" s="8" t="n">
        <x:f>I180*E180</x:f>
        <x:v>0</x:v>
      </x:c>
      <x:c r="S180" s="8" t="n">
        <x:f>O180*E180</x:f>
        <x:v>0</x:v>
      </x:c>
      <x:c r="T180" s="2" t="str">
        <x:f>IF(A180&lt;DATE(2025,12,1),"",IF(D180="Closed",0,ROUND(AVERAGEIFS('Daily inputs'!$F$2:$F$367,'Daily inputs'!$B$2:$B$367,B180,'Daily inputs'!$C$2:$C$367,C180,'Daily inputs'!$D$2:$D$367,"Training"),0)))</x:f>
      </x:c>
      <x:c r="U180" s="2" t="str">
        <x:f>IF(A180&lt;DATE(2025,12,1),"",ROUND(T180*IF(D180="Christmas",Notes!$B$9,Notes!$B$8),0))</x:f>
      </x:c>
      <x:c r="V180" s="2" t="str">
        <x:f>IF(A180&lt;DATE(2025,12,1),"",ABS(T180-F180))</x:f>
      </x:c>
      <x:c r="W180" s="2" t="str">
        <x:f>IF(A180&lt;DATE(2025,12,1),"",ABS(U180-F180))</x:f>
      </x:c>
      <x:c r="X180" s="2" t="str">
        <x:f>IF(A180&lt;DATE(2025,12,1),"",T180-F180)</x:f>
      </x:c>
      <x:c r="Y180" s="2" t="str">
        <x:f>IF(A180&lt;DATE(2025,12,1),"",U180-F180)</x:f>
      </x:c>
      <x:c r="Z180" s="2" t="n">
        <x:f>IF(N180&gt;0,1,0)</x:f>
        <x:v>0</x:v>
      </x:c>
    </x:row>
    <x:row r="181" ht="21" customHeight="1">
      <x:c r="A181" s="6" t="n">
        <x:f>'Daily inputs'!A181</x:f>
        <x:v>45991</x:v>
      </x:c>
      <x:c r="B181" s="2" t="str">
        <x:f>'Daily inputs'!B181</x:f>
        <x:v>I06</x:v>
      </x:c>
      <x:c r="C181" s="2" t="n">
        <x:f>'Daily inputs'!C181</x:f>
        <x:v>7</x:v>
      </x:c>
      <x:c r="D181" s="2" t="str">
        <x:f>'Daily inputs'!D181</x:f>
        <x:v>Training</x:v>
      </x:c>
      <x:c r="E181" s="7" t="n">
        <x:f>'Daily inputs'!E181</x:f>
        <x:v>3</x:v>
      </x:c>
      <x:c r="F181" s="2" t="n">
        <x:f>'Daily inputs'!F181</x:f>
        <x:v>34</x:v>
      </x:c>
      <x:c r="G181" s="2" t="n">
        <x:f>'Daily inputs'!G181</x:f>
        <x:v>6</x:v>
      </x:c>
      <x:c r="H181" s="2" t="n">
        <x:f>'Daily inputs'!H181</x:f>
        <x:v>33</x:v>
      </x:c>
      <x:c r="I181" s="2" t="n">
        <x:f>'Daily inputs'!I181</x:f>
        <x:v>0</x:v>
      </x:c>
      <x:c r="J181" s="2" t="n">
        <x:f>'Daily inputs'!J181</x:f>
        <x:v>0</x:v>
      </x:c>
      <x:c r="K181" s="2" t="n">
        <x:f>'Daily inputs'!K181</x:f>
        <x:v>0</x:v>
      </x:c>
      <x:c r="L181" s="2" t="n">
        <x:f>MIN(F181,G181+H181-I181)</x:f>
        <x:v>34</x:v>
      </x:c>
      <x:c r="M181" s="2" t="n">
        <x:f>G181+H181-L181-I181</x:f>
        <x:v>5</x:v>
      </x:c>
      <x:c r="N181" s="2" t="n">
        <x:f>F181-L181</x:f>
        <x:v>0</x:v>
      </x:c>
      <x:c r="O181" s="2" t="n">
        <x:f>N181-J181</x:f>
        <x:v>0</x:v>
      </x:c>
      <x:c r="P181" s="2" t="n">
        <x:f>L181+I181</x:f>
        <x:v>34</x:v>
      </x:c>
      <x:c r="Q181" s="8" t="n">
        <x:f>P181*E181</x:f>
        <x:v>102</x:v>
      </x:c>
      <x:c r="R181" s="8" t="n">
        <x:f>I181*E181</x:f>
        <x:v>0</x:v>
      </x:c>
      <x:c r="S181" s="8" t="n">
        <x:f>O181*E181</x:f>
        <x:v>0</x:v>
      </x:c>
      <x:c r="T181" s="2" t="str">
        <x:f>IF(A181&lt;DATE(2025,12,1),"",IF(D181="Closed",0,ROUND(AVERAGEIFS('Daily inputs'!$F$2:$F$367,'Daily inputs'!$B$2:$B$367,B181,'Daily inputs'!$C$2:$C$367,C181,'Daily inputs'!$D$2:$D$367,"Training"),0)))</x:f>
      </x:c>
      <x:c r="U181" s="2" t="str">
        <x:f>IF(A181&lt;DATE(2025,12,1),"",ROUND(T181*IF(D181="Christmas",Notes!$B$9,Notes!$B$8),0))</x:f>
      </x:c>
      <x:c r="V181" s="2" t="str">
        <x:f>IF(A181&lt;DATE(2025,12,1),"",ABS(T181-F181))</x:f>
      </x:c>
      <x:c r="W181" s="2" t="str">
        <x:f>IF(A181&lt;DATE(2025,12,1),"",ABS(U181-F181))</x:f>
      </x:c>
      <x:c r="X181" s="2" t="str">
        <x:f>IF(A181&lt;DATE(2025,12,1),"",T181-F181)</x:f>
      </x:c>
      <x:c r="Y181" s="2" t="str">
        <x:f>IF(A181&lt;DATE(2025,12,1),"",U181-F181)</x:f>
      </x:c>
      <x:c r="Z181" s="2" t="n">
        <x:f>IF(N181&gt;0,1,0)</x:f>
        <x:v>0</x:v>
      </x:c>
    </x:row>
    <x:row r="182" ht="21" customHeight="1">
      <x:c r="A182" s="6" t="n">
        <x:f>'Daily inputs'!A182</x:f>
        <x:v>45992</x:v>
      </x:c>
      <x:c r="B182" s="2" t="str">
        <x:f>'Daily inputs'!B182</x:f>
        <x:v>I01</x:v>
      </x:c>
      <x:c r="C182" s="2" t="n">
        <x:f>'Daily inputs'!C182</x:f>
        <x:v>1</x:v>
      </x:c>
      <x:c r="D182" s="2" t="str">
        <x:f>'Daily inputs'!D182</x:f>
        <x:v>December normal</x:v>
      </x:c>
      <x:c r="E182" s="7" t="n">
        <x:f>'Daily inputs'!E182</x:f>
        <x:v>8.5</x:v>
      </x:c>
      <x:c r="F182" s="2" t="n">
        <x:f>'Daily inputs'!F182</x:f>
        <x:v>65</x:v>
      </x:c>
      <x:c r="G182" s="2" t="n">
        <x:f>'Daily inputs'!G182</x:f>
        <x:v>12</x:v>
      </x:c>
      <x:c r="H182" s="2" t="n">
        <x:f>'Daily inputs'!H182</x:f>
        <x:v>63</x:v>
      </x:c>
      <x:c r="I182" s="2" t="n">
        <x:f>'Daily inputs'!I182</x:f>
        <x:v>0</x:v>
      </x:c>
      <x:c r="J182" s="2" t="n">
        <x:f>'Daily inputs'!J182</x:f>
        <x:v>0</x:v>
      </x:c>
      <x:c r="K182" s="2" t="n">
        <x:f>'Daily inputs'!K182</x:f>
        <x:v>0</x:v>
      </x:c>
      <x:c r="L182" s="2" t="n">
        <x:f>MIN(F182,G182+H182-I182)</x:f>
        <x:v>65</x:v>
      </x:c>
      <x:c r="M182" s="2" t="n">
        <x:f>G182+H182-L182-I182</x:f>
        <x:v>10</x:v>
      </x:c>
      <x:c r="N182" s="2" t="n">
        <x:f>F182-L182</x:f>
        <x:v>0</x:v>
      </x:c>
      <x:c r="O182" s="2" t="n">
        <x:f>N182-J182</x:f>
        <x:v>0</x:v>
      </x:c>
      <x:c r="P182" s="2" t="n">
        <x:f>L182+I182</x:f>
        <x:v>65</x:v>
      </x:c>
      <x:c r="Q182" s="8" t="n">
        <x:f>P182*E182</x:f>
        <x:v>552.5</x:v>
      </x:c>
      <x:c r="R182" s="8" t="n">
        <x:f>I182*E182</x:f>
        <x:v>0</x:v>
      </x:c>
      <x:c r="S182" s="8" t="n">
        <x:f>O182*E182</x:f>
        <x:v>0</x:v>
      </x:c>
      <x:c r="T182" s="2" t="n">
        <x:f>IF(A182&lt;DATE(2025,12,1),"",IF(D182="Closed",0,ROUND(AVERAGEIFS('Daily inputs'!$F$2:$F$367,'Daily inputs'!$B$2:$B$367,B182,'Daily inputs'!$C$2:$C$367,C182,'Daily inputs'!$D$2:$D$367,"Training"),0)))</x:f>
        <x:v>60</x:v>
      </x:c>
      <x:c r="U182" s="2" t="n">
        <x:f>IF(A182&lt;DATE(2025,12,1),"",ROUND(T182*IF(D182="Christmas",Notes!$B$9,Notes!$B$8),0))</x:f>
        <x:v>62</x:v>
      </x:c>
      <x:c r="V182" s="2" t="n">
        <x:f>IF(A182&lt;DATE(2025,12,1),"",ABS(T182-F182))</x:f>
        <x:v>5</x:v>
      </x:c>
      <x:c r="W182" s="2" t="n">
        <x:f>IF(A182&lt;DATE(2025,12,1),"",ABS(U182-F182))</x:f>
        <x:v>3</x:v>
      </x:c>
      <x:c r="X182" s="2" t="n">
        <x:f>IF(A182&lt;DATE(2025,12,1),"",T182-F182)</x:f>
        <x:v>-5</x:v>
      </x:c>
      <x:c r="Y182" s="2" t="n">
        <x:f>IF(A182&lt;DATE(2025,12,1),"",U182-F182)</x:f>
        <x:v>-3</x:v>
      </x:c>
      <x:c r="Z182" s="2" t="n">
        <x:f>IF(N182&gt;0,1,0)</x:f>
        <x:v>0</x:v>
      </x:c>
    </x:row>
    <x:row r="183" ht="21" customHeight="1">
      <x:c r="A183" s="6" t="n">
        <x:f>'Daily inputs'!A183</x:f>
        <x:v>45992</x:v>
      </x:c>
      <x:c r="B183" s="2" t="str">
        <x:f>'Daily inputs'!B183</x:f>
        <x:v>I02</x:v>
      </x:c>
      <x:c r="C183" s="2" t="n">
        <x:f>'Daily inputs'!C183</x:f>
        <x:v>1</x:v>
      </x:c>
      <x:c r="D183" s="2" t="str">
        <x:f>'Daily inputs'!D183</x:f>
        <x:v>December normal</x:v>
      </x:c>
      <x:c r="E183" s="7" t="n">
        <x:f>'Daily inputs'!E183</x:f>
        <x:v>8</x:v>
      </x:c>
      <x:c r="F183" s="2" t="n">
        <x:f>'Daily inputs'!F183</x:f>
        <x:v>53</x:v>
      </x:c>
      <x:c r="G183" s="2" t="n">
        <x:f>'Daily inputs'!G183</x:f>
        <x:v>10</x:v>
      </x:c>
      <x:c r="H183" s="2" t="n">
        <x:f>'Daily inputs'!H183</x:f>
        <x:v>51</x:v>
      </x:c>
      <x:c r="I183" s="2" t="n">
        <x:f>'Daily inputs'!I183</x:f>
        <x:v>0</x:v>
      </x:c>
      <x:c r="J183" s="2" t="n">
        <x:f>'Daily inputs'!J183</x:f>
        <x:v>0</x:v>
      </x:c>
      <x:c r="K183" s="2" t="n">
        <x:f>'Daily inputs'!K183</x:f>
        <x:v>0</x:v>
      </x:c>
      <x:c r="L183" s="2" t="n">
        <x:f>MIN(F183,G183+H183-I183)</x:f>
        <x:v>53</x:v>
      </x:c>
      <x:c r="M183" s="2" t="n">
        <x:f>G183+H183-L183-I183</x:f>
        <x:v>8</x:v>
      </x:c>
      <x:c r="N183" s="2" t="n">
        <x:f>F183-L183</x:f>
        <x:v>0</x:v>
      </x:c>
      <x:c r="O183" s="2" t="n">
        <x:f>N183-J183</x:f>
        <x:v>0</x:v>
      </x:c>
      <x:c r="P183" s="2" t="n">
        <x:f>L183+I183</x:f>
        <x:v>53</x:v>
      </x:c>
      <x:c r="Q183" s="8" t="n">
        <x:f>P183*E183</x:f>
        <x:v>424</x:v>
      </x:c>
      <x:c r="R183" s="8" t="n">
        <x:f>I183*E183</x:f>
        <x:v>0</x:v>
      </x:c>
      <x:c r="S183" s="8" t="n">
        <x:f>O183*E183</x:f>
        <x:v>0</x:v>
      </x:c>
      <x:c r="T183" s="2" t="n">
        <x:f>IF(A183&lt;DATE(2025,12,1),"",IF(D183="Closed",0,ROUND(AVERAGEIFS('Daily inputs'!$F$2:$F$367,'Daily inputs'!$B$2:$B$367,B183,'Daily inputs'!$C$2:$C$367,C183,'Daily inputs'!$D$2:$D$367,"Training"),0)))</x:f>
        <x:v>50</x:v>
      </x:c>
      <x:c r="U183" s="2" t="n">
        <x:f>IF(A183&lt;DATE(2025,12,1),"",ROUND(T183*IF(D183="Christmas",Notes!$B$9,Notes!$B$8),0))</x:f>
        <x:v>52</x:v>
      </x:c>
      <x:c r="V183" s="2" t="n">
        <x:f>IF(A183&lt;DATE(2025,12,1),"",ABS(T183-F183))</x:f>
        <x:v>3</x:v>
      </x:c>
      <x:c r="W183" s="2" t="n">
        <x:f>IF(A183&lt;DATE(2025,12,1),"",ABS(U183-F183))</x:f>
        <x:v>1</x:v>
      </x:c>
      <x:c r="X183" s="2" t="n">
        <x:f>IF(A183&lt;DATE(2025,12,1),"",T183-F183)</x:f>
        <x:v>-3</x:v>
      </x:c>
      <x:c r="Y183" s="2" t="n">
        <x:f>IF(A183&lt;DATE(2025,12,1),"",U183-F183)</x:f>
        <x:v>-1</x:v>
      </x:c>
      <x:c r="Z183" s="2" t="n">
        <x:f>IF(N183&gt;0,1,0)</x:f>
        <x:v>0</x:v>
      </x:c>
    </x:row>
    <x:row r="184" ht="21" customHeight="1">
      <x:c r="A184" s="6" t="n">
        <x:f>'Daily inputs'!A184</x:f>
        <x:v>45992</x:v>
      </x:c>
      <x:c r="B184" s="2" t="str">
        <x:f>'Daily inputs'!B184</x:f>
        <x:v>I03</x:v>
      </x:c>
      <x:c r="C184" s="2" t="n">
        <x:f>'Daily inputs'!C184</x:f>
        <x:v>1</x:v>
      </x:c>
      <x:c r="D184" s="2" t="str">
        <x:f>'Daily inputs'!D184</x:f>
        <x:v>December normal</x:v>
      </x:c>
      <x:c r="E184" s="7" t="n">
        <x:f>'Daily inputs'!E184</x:f>
        <x:v>7.5</x:v>
      </x:c>
      <x:c r="F184" s="2" t="n">
        <x:f>'Daily inputs'!F184</x:f>
        <x:v>31</x:v>
      </x:c>
      <x:c r="G184" s="2" t="n">
        <x:f>'Daily inputs'!G184</x:f>
        <x:v>6</x:v>
      </x:c>
      <x:c r="H184" s="2" t="n">
        <x:f>'Daily inputs'!H184</x:f>
        <x:v>30</x:v>
      </x:c>
      <x:c r="I184" s="2" t="n">
        <x:f>'Daily inputs'!I184</x:f>
        <x:v>0</x:v>
      </x:c>
      <x:c r="J184" s="2" t="n">
        <x:f>'Daily inputs'!J184</x:f>
        <x:v>0</x:v>
      </x:c>
      <x:c r="K184" s="2" t="n">
        <x:f>'Daily inputs'!K184</x:f>
        <x:v>0</x:v>
      </x:c>
      <x:c r="L184" s="2" t="n">
        <x:f>MIN(F184,G184+H184-I184)</x:f>
        <x:v>31</x:v>
      </x:c>
      <x:c r="M184" s="2" t="n">
        <x:f>G184+H184-L184-I184</x:f>
        <x:v>5</x:v>
      </x:c>
      <x:c r="N184" s="2" t="n">
        <x:f>F184-L184</x:f>
        <x:v>0</x:v>
      </x:c>
      <x:c r="O184" s="2" t="n">
        <x:f>N184-J184</x:f>
        <x:v>0</x:v>
      </x:c>
      <x:c r="P184" s="2" t="n">
        <x:f>L184+I184</x:f>
        <x:v>31</x:v>
      </x:c>
      <x:c r="Q184" s="8" t="n">
        <x:f>P184*E184</x:f>
        <x:v>232.5</x:v>
      </x:c>
      <x:c r="R184" s="8" t="n">
        <x:f>I184*E184</x:f>
        <x:v>0</x:v>
      </x:c>
      <x:c r="S184" s="8" t="n">
        <x:f>O184*E184</x:f>
        <x:v>0</x:v>
      </x:c>
      <x:c r="T184" s="2" t="n">
        <x:f>IF(A184&lt;DATE(2025,12,1),"",IF(D184="Closed",0,ROUND(AVERAGEIFS('Daily inputs'!$F$2:$F$367,'Daily inputs'!$B$2:$B$367,B184,'Daily inputs'!$C$2:$C$367,C184,'Daily inputs'!$D$2:$D$367,"Training"),0)))</x:f>
        <x:v>29</x:v>
      </x:c>
      <x:c r="U184" s="2" t="n">
        <x:f>IF(A184&lt;DATE(2025,12,1),"",ROUND(T184*IF(D184="Christmas",Notes!$B$9,Notes!$B$8),0))</x:f>
        <x:v>30</x:v>
      </x:c>
      <x:c r="V184" s="2" t="n">
        <x:f>IF(A184&lt;DATE(2025,12,1),"",ABS(T184-F184))</x:f>
        <x:v>2</x:v>
      </x:c>
      <x:c r="W184" s="2" t="n">
        <x:f>IF(A184&lt;DATE(2025,12,1),"",ABS(U184-F184))</x:f>
        <x:v>1</x:v>
      </x:c>
      <x:c r="X184" s="2" t="n">
        <x:f>IF(A184&lt;DATE(2025,12,1),"",T184-F184)</x:f>
        <x:v>-2</x:v>
      </x:c>
      <x:c r="Y184" s="2" t="n">
        <x:f>IF(A184&lt;DATE(2025,12,1),"",U184-F184)</x:f>
        <x:v>-1</x:v>
      </x:c>
      <x:c r="Z184" s="2" t="n">
        <x:f>IF(N184&gt;0,1,0)</x:f>
        <x:v>0</x:v>
      </x:c>
    </x:row>
    <x:row r="185" ht="21" customHeight="1">
      <x:c r="A185" s="6" t="n">
        <x:f>'Daily inputs'!A185</x:f>
        <x:v>45992</x:v>
      </x:c>
      <x:c r="B185" s="2" t="str">
        <x:f>'Daily inputs'!B185</x:f>
        <x:v>I04</x:v>
      </x:c>
      <x:c r="C185" s="2" t="n">
        <x:f>'Daily inputs'!C185</x:f>
        <x:v>1</x:v>
      </x:c>
      <x:c r="D185" s="2" t="str">
        <x:f>'Daily inputs'!D185</x:f>
        <x:v>December normal</x:v>
      </x:c>
      <x:c r="E185" s="7" t="n">
        <x:f>'Daily inputs'!E185</x:f>
        <x:v>9</x:v>
      </x:c>
      <x:c r="F185" s="2" t="n">
        <x:f>'Daily inputs'!F185</x:f>
        <x:v>36</x:v>
      </x:c>
      <x:c r="G185" s="2" t="n">
        <x:f>'Daily inputs'!G185</x:f>
        <x:v>7</x:v>
      </x:c>
      <x:c r="H185" s="2" t="n">
        <x:f>'Daily inputs'!H185</x:f>
        <x:v>34</x:v>
      </x:c>
      <x:c r="I185" s="2" t="n">
        <x:f>'Daily inputs'!I185</x:f>
        <x:v>0</x:v>
      </x:c>
      <x:c r="J185" s="2" t="n">
        <x:f>'Daily inputs'!J185</x:f>
        <x:v>0</x:v>
      </x:c>
      <x:c r="K185" s="2" t="n">
        <x:f>'Daily inputs'!K185</x:f>
        <x:v>0</x:v>
      </x:c>
      <x:c r="L185" s="2" t="n">
        <x:f>MIN(F185,G185+H185-I185)</x:f>
        <x:v>36</x:v>
      </x:c>
      <x:c r="M185" s="2" t="n">
        <x:f>G185+H185-L185-I185</x:f>
        <x:v>5</x:v>
      </x:c>
      <x:c r="N185" s="2" t="n">
        <x:f>F185-L185</x:f>
        <x:v>0</x:v>
      </x:c>
      <x:c r="O185" s="2" t="n">
        <x:f>N185-J185</x:f>
        <x:v>0</x:v>
      </x:c>
      <x:c r="P185" s="2" t="n">
        <x:f>L185+I185</x:f>
        <x:v>36</x:v>
      </x:c>
      <x:c r="Q185" s="8" t="n">
        <x:f>P185*E185</x:f>
        <x:v>324</x:v>
      </x:c>
      <x:c r="R185" s="8" t="n">
        <x:f>I185*E185</x:f>
        <x:v>0</x:v>
      </x:c>
      <x:c r="S185" s="8" t="n">
        <x:f>O185*E185</x:f>
        <x:v>0</x:v>
      </x:c>
      <x:c r="T185" s="2" t="n">
        <x:f>IF(A185&lt;DATE(2025,12,1),"",IF(D185="Closed",0,ROUND(AVERAGEIFS('Daily inputs'!$F$2:$F$367,'Daily inputs'!$B$2:$B$367,B185,'Daily inputs'!$C$2:$C$367,C185,'Daily inputs'!$D$2:$D$367,"Training"),0)))</x:f>
        <x:v>33</x:v>
      </x:c>
      <x:c r="U185" s="2" t="n">
        <x:f>IF(A185&lt;DATE(2025,12,1),"",ROUND(T185*IF(D185="Christmas",Notes!$B$9,Notes!$B$8),0))</x:f>
        <x:v>34</x:v>
      </x:c>
      <x:c r="V185" s="2" t="n">
        <x:f>IF(A185&lt;DATE(2025,12,1),"",ABS(T185-F185))</x:f>
        <x:v>3</x:v>
      </x:c>
      <x:c r="W185" s="2" t="n">
        <x:f>IF(A185&lt;DATE(2025,12,1),"",ABS(U185-F185))</x:f>
        <x:v>2</x:v>
      </x:c>
      <x:c r="X185" s="2" t="n">
        <x:f>IF(A185&lt;DATE(2025,12,1),"",T185-F185)</x:f>
        <x:v>-3</x:v>
      </x:c>
      <x:c r="Y185" s="2" t="n">
        <x:f>IF(A185&lt;DATE(2025,12,1),"",U185-F185)</x:f>
        <x:v>-2</x:v>
      </x:c>
      <x:c r="Z185" s="2" t="n">
        <x:f>IF(N185&gt;0,1,0)</x:f>
        <x:v>0</x:v>
      </x:c>
    </x:row>
    <x:row r="186" ht="21" customHeight="1">
      <x:c r="A186" s="6" t="n">
        <x:f>'Daily inputs'!A186</x:f>
        <x:v>45992</x:v>
      </x:c>
      <x:c r="B186" s="2" t="str">
        <x:f>'Daily inputs'!B186</x:f>
        <x:v>I05</x:v>
      </x:c>
      <x:c r="C186" s="2" t="n">
        <x:f>'Daily inputs'!C186</x:f>
        <x:v>1</x:v>
      </x:c>
      <x:c r="D186" s="2" t="str">
        <x:f>'Daily inputs'!D186</x:f>
        <x:v>December normal</x:v>
      </x:c>
      <x:c r="E186" s="7" t="n">
        <x:f>'Daily inputs'!E186</x:f>
        <x:v>3.5</x:v>
      </x:c>
      <x:c r="F186" s="2" t="n">
        <x:f>'Daily inputs'!F186</x:f>
        <x:v>76</x:v>
      </x:c>
      <x:c r="G186" s="2" t="n">
        <x:f>'Daily inputs'!G186</x:f>
        <x:v>14</x:v>
      </x:c>
      <x:c r="H186" s="2" t="n">
        <x:f>'Daily inputs'!H186</x:f>
        <x:v>73</x:v>
      </x:c>
      <x:c r="I186" s="2" t="n">
        <x:f>'Daily inputs'!I186</x:f>
        <x:v>0</x:v>
      </x:c>
      <x:c r="J186" s="2" t="n">
        <x:f>'Daily inputs'!J186</x:f>
        <x:v>0</x:v>
      </x:c>
      <x:c r="K186" s="2" t="n">
        <x:f>'Daily inputs'!K186</x:f>
        <x:v>0</x:v>
      </x:c>
      <x:c r="L186" s="2" t="n">
        <x:f>MIN(F186,G186+H186-I186)</x:f>
        <x:v>76</x:v>
      </x:c>
      <x:c r="M186" s="2" t="n">
        <x:f>G186+H186-L186-I186</x:f>
        <x:v>11</x:v>
      </x:c>
      <x:c r="N186" s="2" t="n">
        <x:f>F186-L186</x:f>
        <x:v>0</x:v>
      </x:c>
      <x:c r="O186" s="2" t="n">
        <x:f>N186-J186</x:f>
        <x:v>0</x:v>
      </x:c>
      <x:c r="P186" s="2" t="n">
        <x:f>L186+I186</x:f>
        <x:v>76</x:v>
      </x:c>
      <x:c r="Q186" s="8" t="n">
        <x:f>P186*E186</x:f>
        <x:v>266</x:v>
      </x:c>
      <x:c r="R186" s="8" t="n">
        <x:f>I186*E186</x:f>
        <x:v>0</x:v>
      </x:c>
      <x:c r="S186" s="8" t="n">
        <x:f>O186*E186</x:f>
        <x:v>0</x:v>
      </x:c>
      <x:c r="T186" s="2" t="n">
        <x:f>IF(A186&lt;DATE(2025,12,1),"",IF(D186="Closed",0,ROUND(AVERAGEIFS('Daily inputs'!$F$2:$F$367,'Daily inputs'!$B$2:$B$367,B186,'Daily inputs'!$C$2:$C$367,C186,'Daily inputs'!$D$2:$D$367,"Training"),0)))</x:f>
        <x:v>69</x:v>
      </x:c>
      <x:c r="U186" s="2" t="n">
        <x:f>IF(A186&lt;DATE(2025,12,1),"",ROUND(T186*IF(D186="Christmas",Notes!$B$9,Notes!$B$8),0))</x:f>
        <x:v>72</x:v>
      </x:c>
      <x:c r="V186" s="2" t="n">
        <x:f>IF(A186&lt;DATE(2025,12,1),"",ABS(T186-F186))</x:f>
        <x:v>7</x:v>
      </x:c>
      <x:c r="W186" s="2" t="n">
        <x:f>IF(A186&lt;DATE(2025,12,1),"",ABS(U186-F186))</x:f>
        <x:v>4</x:v>
      </x:c>
      <x:c r="X186" s="2" t="n">
        <x:f>IF(A186&lt;DATE(2025,12,1),"",T186-F186)</x:f>
        <x:v>-7</x:v>
      </x:c>
      <x:c r="Y186" s="2" t="n">
        <x:f>IF(A186&lt;DATE(2025,12,1),"",U186-F186)</x:f>
        <x:v>-4</x:v>
      </x:c>
      <x:c r="Z186" s="2" t="n">
        <x:f>IF(N186&gt;0,1,0)</x:f>
        <x:v>0</x:v>
      </x:c>
    </x:row>
    <x:row r="187" ht="21" customHeight="1">
      <x:c r="A187" s="6" t="n">
        <x:f>'Daily inputs'!A187</x:f>
        <x:v>45992</x:v>
      </x:c>
      <x:c r="B187" s="2" t="str">
        <x:f>'Daily inputs'!B187</x:f>
        <x:v>I06</x:v>
      </x:c>
      <x:c r="C187" s="2" t="n">
        <x:f>'Daily inputs'!C187</x:f>
        <x:v>1</x:v>
      </x:c>
      <x:c r="D187" s="2" t="str">
        <x:f>'Daily inputs'!D187</x:f>
        <x:v>December normal</x:v>
      </x:c>
      <x:c r="E187" s="7" t="n">
        <x:f>'Daily inputs'!E187</x:f>
        <x:v>3</x:v>
      </x:c>
      <x:c r="F187" s="2" t="n">
        <x:f>'Daily inputs'!F187</x:f>
        <x:v>27</x:v>
      </x:c>
      <x:c r="G187" s="2" t="n">
        <x:f>'Daily inputs'!G187</x:f>
        <x:v>5</x:v>
      </x:c>
      <x:c r="H187" s="2" t="n">
        <x:f>'Daily inputs'!H187</x:f>
        <x:v>26</x:v>
      </x:c>
      <x:c r="I187" s="2" t="n">
        <x:f>'Daily inputs'!I187</x:f>
        <x:v>0</x:v>
      </x:c>
      <x:c r="J187" s="2" t="n">
        <x:f>'Daily inputs'!J187</x:f>
        <x:v>0</x:v>
      </x:c>
      <x:c r="K187" s="2" t="n">
        <x:f>'Daily inputs'!K187</x:f>
        <x:v>0</x:v>
      </x:c>
      <x:c r="L187" s="2" t="n">
        <x:f>MIN(F187,G187+H187-I187)</x:f>
        <x:v>27</x:v>
      </x:c>
      <x:c r="M187" s="2" t="n">
        <x:f>G187+H187-L187-I187</x:f>
        <x:v>4</x:v>
      </x:c>
      <x:c r="N187" s="2" t="n">
        <x:f>F187-L187</x:f>
        <x:v>0</x:v>
      </x:c>
      <x:c r="O187" s="2" t="n">
        <x:f>N187-J187</x:f>
        <x:v>0</x:v>
      </x:c>
      <x:c r="P187" s="2" t="n">
        <x:f>L187+I187</x:f>
        <x:v>27</x:v>
      </x:c>
      <x:c r="Q187" s="8" t="n">
        <x:f>P187*E187</x:f>
        <x:v>81</x:v>
      </x:c>
      <x:c r="R187" s="8" t="n">
        <x:f>I187*E187</x:f>
        <x:v>0</x:v>
      </x:c>
      <x:c r="S187" s="8" t="n">
        <x:f>O187*E187</x:f>
        <x:v>0</x:v>
      </x:c>
      <x:c r="T187" s="2" t="n">
        <x:f>IF(A187&lt;DATE(2025,12,1),"",IF(D187="Closed",0,ROUND(AVERAGEIFS('Daily inputs'!$F$2:$F$367,'Daily inputs'!$B$2:$B$367,B187,'Daily inputs'!$C$2:$C$367,C187,'Daily inputs'!$D$2:$D$367,"Training"),0)))</x:f>
        <x:v>26</x:v>
      </x:c>
      <x:c r="U187" s="2" t="n">
        <x:f>IF(A187&lt;DATE(2025,12,1),"",ROUND(T187*IF(D187="Christmas",Notes!$B$9,Notes!$B$8),0))</x:f>
        <x:v>27</x:v>
      </x:c>
      <x:c r="V187" s="2" t="n">
        <x:f>IF(A187&lt;DATE(2025,12,1),"",ABS(T187-F187))</x:f>
        <x:v>1</x:v>
      </x:c>
      <x:c r="W187" s="2" t="n">
        <x:f>IF(A187&lt;DATE(2025,12,1),"",ABS(U187-F187))</x:f>
        <x:v>0</x:v>
      </x:c>
      <x:c r="X187" s="2" t="n">
        <x:f>IF(A187&lt;DATE(2025,12,1),"",T187-F187)</x:f>
        <x:v>-1</x:v>
      </x:c>
      <x:c r="Y187" s="2" t="n">
        <x:f>IF(A187&lt;DATE(2025,12,1),"",U187-F187)</x:f>
        <x:v>0</x:v>
      </x:c>
      <x:c r="Z187" s="2" t="n">
        <x:f>IF(N187&gt;0,1,0)</x:f>
        <x:v>0</x:v>
      </x:c>
    </x:row>
    <x:row r="188" ht="21" customHeight="1">
      <x:c r="A188" s="6" t="n">
        <x:f>'Daily inputs'!A188</x:f>
        <x:v>45993</x:v>
      </x:c>
      <x:c r="B188" s="2" t="str">
        <x:f>'Daily inputs'!B188</x:f>
        <x:v>I01</x:v>
      </x:c>
      <x:c r="C188" s="2" t="n">
        <x:f>'Daily inputs'!C188</x:f>
        <x:v>2</x:v>
      </x:c>
      <x:c r="D188" s="2" t="str">
        <x:f>'Daily inputs'!D188</x:f>
        <x:v>December normal</x:v>
      </x:c>
      <x:c r="E188" s="7" t="n">
        <x:f>'Daily inputs'!E188</x:f>
        <x:v>8.5</x:v>
      </x:c>
      <x:c r="F188" s="2" t="n">
        <x:f>'Daily inputs'!F188</x:f>
        <x:v>67</x:v>
      </x:c>
      <x:c r="G188" s="2" t="n">
        <x:f>'Daily inputs'!G188</x:f>
        <x:v>10</x:v>
      </x:c>
      <x:c r="H188" s="2" t="n">
        <x:f>'Daily inputs'!H188</x:f>
        <x:v>67</x:v>
      </x:c>
      <x:c r="I188" s="2" t="n">
        <x:f>'Daily inputs'!I188</x:f>
        <x:v>0</x:v>
      </x:c>
      <x:c r="J188" s="2" t="n">
        <x:f>'Daily inputs'!J188</x:f>
        <x:v>0</x:v>
      </x:c>
      <x:c r="K188" s="2" t="n">
        <x:f>'Daily inputs'!K188</x:f>
        <x:v>0</x:v>
      </x:c>
      <x:c r="L188" s="2" t="n">
        <x:f>MIN(F188,G188+H188-I188)</x:f>
        <x:v>67</x:v>
      </x:c>
      <x:c r="M188" s="2" t="n">
        <x:f>G188+H188-L188-I188</x:f>
        <x:v>10</x:v>
      </x:c>
      <x:c r="N188" s="2" t="n">
        <x:f>F188-L188</x:f>
        <x:v>0</x:v>
      </x:c>
      <x:c r="O188" s="2" t="n">
        <x:f>N188-J188</x:f>
        <x:v>0</x:v>
      </x:c>
      <x:c r="P188" s="2" t="n">
        <x:f>L188+I188</x:f>
        <x:v>67</x:v>
      </x:c>
      <x:c r="Q188" s="8" t="n">
        <x:f>P188*E188</x:f>
        <x:v>569.5</x:v>
      </x:c>
      <x:c r="R188" s="8" t="n">
        <x:f>I188*E188</x:f>
        <x:v>0</x:v>
      </x:c>
      <x:c r="S188" s="8" t="n">
        <x:f>O188*E188</x:f>
        <x:v>0</x:v>
      </x:c>
      <x:c r="T188" s="2" t="n">
        <x:f>IF(A188&lt;DATE(2025,12,1),"",IF(D188="Closed",0,ROUND(AVERAGEIFS('Daily inputs'!$F$2:$F$367,'Daily inputs'!$B$2:$B$367,B188,'Daily inputs'!$C$2:$C$367,C188,'Daily inputs'!$D$2:$D$367,"Training"),0)))</x:f>
        <x:v>65</x:v>
      </x:c>
      <x:c r="U188" s="2" t="n">
        <x:f>IF(A188&lt;DATE(2025,12,1),"",ROUND(T188*IF(D188="Christmas",Notes!$B$9,Notes!$B$8),0))</x:f>
        <x:v>68</x:v>
      </x:c>
      <x:c r="V188" s="2" t="n">
        <x:f>IF(A188&lt;DATE(2025,12,1),"",ABS(T188-F188))</x:f>
        <x:v>2</x:v>
      </x:c>
      <x:c r="W188" s="2" t="n">
        <x:f>IF(A188&lt;DATE(2025,12,1),"",ABS(U188-F188))</x:f>
        <x:v>1</x:v>
      </x:c>
      <x:c r="X188" s="2" t="n">
        <x:f>IF(A188&lt;DATE(2025,12,1),"",T188-F188)</x:f>
        <x:v>-2</x:v>
      </x:c>
      <x:c r="Y188" s="2" t="n">
        <x:f>IF(A188&lt;DATE(2025,12,1),"",U188-F188)</x:f>
        <x:v>1</x:v>
      </x:c>
      <x:c r="Z188" s="2" t="n">
        <x:f>IF(N188&gt;0,1,0)</x:f>
        <x:v>0</x:v>
      </x:c>
    </x:row>
    <x:row r="189" ht="21" customHeight="1">
      <x:c r="A189" s="6" t="n">
        <x:f>'Daily inputs'!A189</x:f>
        <x:v>45993</x:v>
      </x:c>
      <x:c r="B189" s="2" t="str">
        <x:f>'Daily inputs'!B189</x:f>
        <x:v>I02</x:v>
      </x:c>
      <x:c r="C189" s="2" t="n">
        <x:f>'Daily inputs'!C189</x:f>
        <x:v>2</x:v>
      </x:c>
      <x:c r="D189" s="2" t="str">
        <x:f>'Daily inputs'!D189</x:f>
        <x:v>December normal</x:v>
      </x:c>
      <x:c r="E189" s="7" t="n">
        <x:f>'Daily inputs'!E189</x:f>
        <x:v>8</x:v>
      </x:c>
      <x:c r="F189" s="2" t="n">
        <x:f>'Daily inputs'!F189</x:f>
        <x:v>55</x:v>
      </x:c>
      <x:c r="G189" s="2" t="n">
        <x:f>'Daily inputs'!G189</x:f>
        <x:v>8</x:v>
      </x:c>
      <x:c r="H189" s="2" t="n">
        <x:f>'Daily inputs'!H189</x:f>
        <x:v>55</x:v>
      </x:c>
      <x:c r="I189" s="2" t="n">
        <x:f>'Daily inputs'!I189</x:f>
        <x:v>0</x:v>
      </x:c>
      <x:c r="J189" s="2" t="n">
        <x:f>'Daily inputs'!J189</x:f>
        <x:v>0</x:v>
      </x:c>
      <x:c r="K189" s="2" t="n">
        <x:f>'Daily inputs'!K189</x:f>
        <x:v>0</x:v>
      </x:c>
      <x:c r="L189" s="2" t="n">
        <x:f>MIN(F189,G189+H189-I189)</x:f>
        <x:v>55</x:v>
      </x:c>
      <x:c r="M189" s="2" t="n">
        <x:f>G189+H189-L189-I189</x:f>
        <x:v>8</x:v>
      </x:c>
      <x:c r="N189" s="2" t="n">
        <x:f>F189-L189</x:f>
        <x:v>0</x:v>
      </x:c>
      <x:c r="O189" s="2" t="n">
        <x:f>N189-J189</x:f>
        <x:v>0</x:v>
      </x:c>
      <x:c r="P189" s="2" t="n">
        <x:f>L189+I189</x:f>
        <x:v>55</x:v>
      </x:c>
      <x:c r="Q189" s="8" t="n">
        <x:f>P189*E189</x:f>
        <x:v>440</x:v>
      </x:c>
      <x:c r="R189" s="8" t="n">
        <x:f>I189*E189</x:f>
        <x:v>0</x:v>
      </x:c>
      <x:c r="S189" s="8" t="n">
        <x:f>O189*E189</x:f>
        <x:v>0</x:v>
      </x:c>
      <x:c r="T189" s="2" t="n">
        <x:f>IF(A189&lt;DATE(2025,12,1),"",IF(D189="Closed",0,ROUND(AVERAGEIFS('Daily inputs'!$F$2:$F$367,'Daily inputs'!$B$2:$B$367,B189,'Daily inputs'!$C$2:$C$367,C189,'Daily inputs'!$D$2:$D$367,"Training"),0)))</x:f>
        <x:v>53</x:v>
      </x:c>
      <x:c r="U189" s="2" t="n">
        <x:f>IF(A189&lt;DATE(2025,12,1),"",ROUND(T189*IF(D189="Christmas",Notes!$B$9,Notes!$B$8),0))</x:f>
        <x:v>55</x:v>
      </x:c>
      <x:c r="V189" s="2" t="n">
        <x:f>IF(A189&lt;DATE(2025,12,1),"",ABS(T189-F189))</x:f>
        <x:v>2</x:v>
      </x:c>
      <x:c r="W189" s="2" t="n">
        <x:f>IF(A189&lt;DATE(2025,12,1),"",ABS(U189-F189))</x:f>
        <x:v>0</x:v>
      </x:c>
      <x:c r="X189" s="2" t="n">
        <x:f>IF(A189&lt;DATE(2025,12,1),"",T189-F189)</x:f>
        <x:v>-2</x:v>
      </x:c>
      <x:c r="Y189" s="2" t="n">
        <x:f>IF(A189&lt;DATE(2025,12,1),"",U189-F189)</x:f>
        <x:v>0</x:v>
      </x:c>
      <x:c r="Z189" s="2" t="n">
        <x:f>IF(N189&gt;0,1,0)</x:f>
        <x:v>0</x:v>
      </x:c>
    </x:row>
    <x:row r="190" ht="21" customHeight="1">
      <x:c r="A190" s="6" t="n">
        <x:f>'Daily inputs'!A190</x:f>
        <x:v>45993</x:v>
      </x:c>
      <x:c r="B190" s="2" t="str">
        <x:f>'Daily inputs'!B190</x:f>
        <x:v>I03</x:v>
      </x:c>
      <x:c r="C190" s="2" t="n">
        <x:f>'Daily inputs'!C190</x:f>
        <x:v>2</x:v>
      </x:c>
      <x:c r="D190" s="2" t="str">
        <x:f>'Daily inputs'!D190</x:f>
        <x:v>December normal</x:v>
      </x:c>
      <x:c r="E190" s="7" t="n">
        <x:f>'Daily inputs'!E190</x:f>
        <x:v>7.5</x:v>
      </x:c>
      <x:c r="F190" s="2" t="n">
        <x:f>'Daily inputs'!F190</x:f>
        <x:v>30</x:v>
      </x:c>
      <x:c r="G190" s="2" t="n">
        <x:f>'Daily inputs'!G190</x:f>
        <x:v>5</x:v>
      </x:c>
      <x:c r="H190" s="2" t="n">
        <x:f>'Daily inputs'!H190</x:f>
        <x:v>30</x:v>
      </x:c>
      <x:c r="I190" s="2" t="n">
        <x:f>'Daily inputs'!I190</x:f>
        <x:v>0</x:v>
      </x:c>
      <x:c r="J190" s="2" t="n">
        <x:f>'Daily inputs'!J190</x:f>
        <x:v>0</x:v>
      </x:c>
      <x:c r="K190" s="2" t="n">
        <x:f>'Daily inputs'!K190</x:f>
        <x:v>0</x:v>
      </x:c>
      <x:c r="L190" s="2" t="n">
        <x:f>MIN(F190,G190+H190-I190)</x:f>
        <x:v>30</x:v>
      </x:c>
      <x:c r="M190" s="2" t="n">
        <x:f>G190+H190-L190-I190</x:f>
        <x:v>5</x:v>
      </x:c>
      <x:c r="N190" s="2" t="n">
        <x:f>F190-L190</x:f>
        <x:v>0</x:v>
      </x:c>
      <x:c r="O190" s="2" t="n">
        <x:f>N190-J190</x:f>
        <x:v>0</x:v>
      </x:c>
      <x:c r="P190" s="2" t="n">
        <x:f>L190+I190</x:f>
        <x:v>30</x:v>
      </x:c>
      <x:c r="Q190" s="8" t="n">
        <x:f>P190*E190</x:f>
        <x:v>225</x:v>
      </x:c>
      <x:c r="R190" s="8" t="n">
        <x:f>I190*E190</x:f>
        <x:v>0</x:v>
      </x:c>
      <x:c r="S190" s="8" t="n">
        <x:f>O190*E190</x:f>
        <x:v>0</x:v>
      </x:c>
      <x:c r="T190" s="2" t="n">
        <x:f>IF(A190&lt;DATE(2025,12,1),"",IF(D190="Closed",0,ROUND(AVERAGEIFS('Daily inputs'!$F$2:$F$367,'Daily inputs'!$B$2:$B$367,B190,'Daily inputs'!$C$2:$C$367,C190,'Daily inputs'!$D$2:$D$367,"Training"),0)))</x:f>
        <x:v>31</x:v>
      </x:c>
      <x:c r="U190" s="2" t="n">
        <x:f>IF(A190&lt;DATE(2025,12,1),"",ROUND(T190*IF(D190="Christmas",Notes!$B$9,Notes!$B$8),0))</x:f>
        <x:v>32</x:v>
      </x:c>
      <x:c r="V190" s="2" t="n">
        <x:f>IF(A190&lt;DATE(2025,12,1),"",ABS(T190-F190))</x:f>
        <x:v>1</x:v>
      </x:c>
      <x:c r="W190" s="2" t="n">
        <x:f>IF(A190&lt;DATE(2025,12,1),"",ABS(U190-F190))</x:f>
        <x:v>2</x:v>
      </x:c>
      <x:c r="X190" s="2" t="n">
        <x:f>IF(A190&lt;DATE(2025,12,1),"",T190-F190)</x:f>
        <x:v>1</x:v>
      </x:c>
      <x:c r="Y190" s="2" t="n">
        <x:f>IF(A190&lt;DATE(2025,12,1),"",U190-F190)</x:f>
        <x:v>2</x:v>
      </x:c>
      <x:c r="Z190" s="2" t="n">
        <x:f>IF(N190&gt;0,1,0)</x:f>
        <x:v>0</x:v>
      </x:c>
    </x:row>
    <x:row r="191" ht="21" customHeight="1">
      <x:c r="A191" s="6" t="n">
        <x:f>'Daily inputs'!A191</x:f>
        <x:v>45993</x:v>
      </x:c>
      <x:c r="B191" s="2" t="str">
        <x:f>'Daily inputs'!B191</x:f>
        <x:v>I04</x:v>
      </x:c>
      <x:c r="C191" s="2" t="n">
        <x:f>'Daily inputs'!C191</x:f>
        <x:v>2</x:v>
      </x:c>
      <x:c r="D191" s="2" t="str">
        <x:f>'Daily inputs'!D191</x:f>
        <x:v>December normal</x:v>
      </x:c>
      <x:c r="E191" s="7" t="n">
        <x:f>'Daily inputs'!E191</x:f>
        <x:v>9</x:v>
      </x:c>
      <x:c r="F191" s="2" t="n">
        <x:f>'Daily inputs'!F191</x:f>
        <x:v>38</x:v>
      </x:c>
      <x:c r="G191" s="2" t="n">
        <x:f>'Daily inputs'!G191</x:f>
        <x:v>5</x:v>
      </x:c>
      <x:c r="H191" s="2" t="n">
        <x:f>'Daily inputs'!H191</x:f>
        <x:v>39</x:v>
      </x:c>
      <x:c r="I191" s="2" t="n">
        <x:f>'Daily inputs'!I191</x:f>
        <x:v>0</x:v>
      </x:c>
      <x:c r="J191" s="2" t="n">
        <x:f>'Daily inputs'!J191</x:f>
        <x:v>0</x:v>
      </x:c>
      <x:c r="K191" s="2" t="n">
        <x:f>'Daily inputs'!K191</x:f>
        <x:v>0</x:v>
      </x:c>
      <x:c r="L191" s="2" t="n">
        <x:f>MIN(F191,G191+H191-I191)</x:f>
        <x:v>38</x:v>
      </x:c>
      <x:c r="M191" s="2" t="n">
        <x:f>G191+H191-L191-I191</x:f>
        <x:v>6</x:v>
      </x:c>
      <x:c r="N191" s="2" t="n">
        <x:f>F191-L191</x:f>
        <x:v>0</x:v>
      </x:c>
      <x:c r="O191" s="2" t="n">
        <x:f>N191-J191</x:f>
        <x:v>0</x:v>
      </x:c>
      <x:c r="P191" s="2" t="n">
        <x:f>L191+I191</x:f>
        <x:v>38</x:v>
      </x:c>
      <x:c r="Q191" s="8" t="n">
        <x:f>P191*E191</x:f>
        <x:v>342</x:v>
      </x:c>
      <x:c r="R191" s="8" t="n">
        <x:f>I191*E191</x:f>
        <x:v>0</x:v>
      </x:c>
      <x:c r="S191" s="8" t="n">
        <x:f>O191*E191</x:f>
        <x:v>0</x:v>
      </x:c>
      <x:c r="T191" s="2" t="n">
        <x:f>IF(A191&lt;DATE(2025,12,1),"",IF(D191="Closed",0,ROUND(AVERAGEIFS('Daily inputs'!$F$2:$F$367,'Daily inputs'!$B$2:$B$367,B191,'Daily inputs'!$C$2:$C$367,C191,'Daily inputs'!$D$2:$D$367,"Training"),0)))</x:f>
        <x:v>37</x:v>
      </x:c>
      <x:c r="U191" s="2" t="n">
        <x:f>IF(A191&lt;DATE(2025,12,1),"",ROUND(T191*IF(D191="Christmas",Notes!$B$9,Notes!$B$8),0))</x:f>
        <x:v>38</x:v>
      </x:c>
      <x:c r="V191" s="2" t="n">
        <x:f>IF(A191&lt;DATE(2025,12,1),"",ABS(T191-F191))</x:f>
        <x:v>1</x:v>
      </x:c>
      <x:c r="W191" s="2" t="n">
        <x:f>IF(A191&lt;DATE(2025,12,1),"",ABS(U191-F191))</x:f>
        <x:v>0</x:v>
      </x:c>
      <x:c r="X191" s="2" t="n">
        <x:f>IF(A191&lt;DATE(2025,12,1),"",T191-F191)</x:f>
        <x:v>-1</x:v>
      </x:c>
      <x:c r="Y191" s="2" t="n">
        <x:f>IF(A191&lt;DATE(2025,12,1),"",U191-F191)</x:f>
        <x:v>0</x:v>
      </x:c>
      <x:c r="Z191" s="2" t="n">
        <x:f>IF(N191&gt;0,1,0)</x:f>
        <x:v>0</x:v>
      </x:c>
    </x:row>
    <x:row r="192" ht="21" customHeight="1">
      <x:c r="A192" s="6" t="n">
        <x:f>'Daily inputs'!A192</x:f>
        <x:v>45993</x:v>
      </x:c>
      <x:c r="B192" s="2" t="str">
        <x:f>'Daily inputs'!B192</x:f>
        <x:v>I05</x:v>
      </x:c>
      <x:c r="C192" s="2" t="n">
        <x:f>'Daily inputs'!C192</x:f>
        <x:v>2</x:v>
      </x:c>
      <x:c r="D192" s="2" t="str">
        <x:f>'Daily inputs'!D192</x:f>
        <x:v>December normal</x:v>
      </x:c>
      <x:c r="E192" s="7" t="n">
        <x:f>'Daily inputs'!E192</x:f>
        <x:v>3.5</x:v>
      </x:c>
      <x:c r="F192" s="2" t="n">
        <x:f>'Daily inputs'!F192</x:f>
        <x:v>77</x:v>
      </x:c>
      <x:c r="G192" s="2" t="n">
        <x:f>'Daily inputs'!G192</x:f>
        <x:v>11</x:v>
      </x:c>
      <x:c r="H192" s="2" t="n">
        <x:f>'Daily inputs'!H192</x:f>
        <x:v>78</x:v>
      </x:c>
      <x:c r="I192" s="2" t="n">
        <x:f>'Daily inputs'!I192</x:f>
        <x:v>0</x:v>
      </x:c>
      <x:c r="J192" s="2" t="n">
        <x:f>'Daily inputs'!J192</x:f>
        <x:v>0</x:v>
      </x:c>
      <x:c r="K192" s="2" t="n">
        <x:f>'Daily inputs'!K192</x:f>
        <x:v>0</x:v>
      </x:c>
      <x:c r="L192" s="2" t="n">
        <x:f>MIN(F192,G192+H192-I192)</x:f>
        <x:v>77</x:v>
      </x:c>
      <x:c r="M192" s="2" t="n">
        <x:f>G192+H192-L192-I192</x:f>
        <x:v>12</x:v>
      </x:c>
      <x:c r="N192" s="2" t="n">
        <x:f>F192-L192</x:f>
        <x:v>0</x:v>
      </x:c>
      <x:c r="O192" s="2" t="n">
        <x:f>N192-J192</x:f>
        <x:v>0</x:v>
      </x:c>
      <x:c r="P192" s="2" t="n">
        <x:f>L192+I192</x:f>
        <x:v>77</x:v>
      </x:c>
      <x:c r="Q192" s="8" t="n">
        <x:f>P192*E192</x:f>
        <x:v>269.5</x:v>
      </x:c>
      <x:c r="R192" s="8" t="n">
        <x:f>I192*E192</x:f>
        <x:v>0</x:v>
      </x:c>
      <x:c r="S192" s="8" t="n">
        <x:f>O192*E192</x:f>
        <x:v>0</x:v>
      </x:c>
      <x:c r="T192" s="2" t="n">
        <x:f>IF(A192&lt;DATE(2025,12,1),"",IF(D192="Closed",0,ROUND(AVERAGEIFS('Daily inputs'!$F$2:$F$367,'Daily inputs'!$B$2:$B$367,B192,'Daily inputs'!$C$2:$C$367,C192,'Daily inputs'!$D$2:$D$367,"Training"),0)))</x:f>
        <x:v>75</x:v>
      </x:c>
      <x:c r="U192" s="2" t="n">
        <x:f>IF(A192&lt;DATE(2025,12,1),"",ROUND(T192*IF(D192="Christmas",Notes!$B$9,Notes!$B$8),0))</x:f>
        <x:v>78</x:v>
      </x:c>
      <x:c r="V192" s="2" t="n">
        <x:f>IF(A192&lt;DATE(2025,12,1),"",ABS(T192-F192))</x:f>
        <x:v>2</x:v>
      </x:c>
      <x:c r="W192" s="2" t="n">
        <x:f>IF(A192&lt;DATE(2025,12,1),"",ABS(U192-F192))</x:f>
        <x:v>1</x:v>
      </x:c>
      <x:c r="X192" s="2" t="n">
        <x:f>IF(A192&lt;DATE(2025,12,1),"",T192-F192)</x:f>
        <x:v>-2</x:v>
      </x:c>
      <x:c r="Y192" s="2" t="n">
        <x:f>IF(A192&lt;DATE(2025,12,1),"",U192-F192)</x:f>
        <x:v>1</x:v>
      </x:c>
      <x:c r="Z192" s="2" t="n">
        <x:f>IF(N192&gt;0,1,0)</x:f>
        <x:v>0</x:v>
      </x:c>
    </x:row>
    <x:row r="193" ht="21" customHeight="1">
      <x:c r="A193" s="6" t="n">
        <x:f>'Daily inputs'!A193</x:f>
        <x:v>45993</x:v>
      </x:c>
      <x:c r="B193" s="2" t="str">
        <x:f>'Daily inputs'!B193</x:f>
        <x:v>I06</x:v>
      </x:c>
      <x:c r="C193" s="2" t="n">
        <x:f>'Daily inputs'!C193</x:f>
        <x:v>2</x:v>
      </x:c>
      <x:c r="D193" s="2" t="str">
        <x:f>'Daily inputs'!D193</x:f>
        <x:v>December normal</x:v>
      </x:c>
      <x:c r="E193" s="7" t="n">
        <x:f>'Daily inputs'!E193</x:f>
        <x:v>3</x:v>
      </x:c>
      <x:c r="F193" s="2" t="n">
        <x:f>'Daily inputs'!F193</x:f>
        <x:v>31</x:v>
      </x:c>
      <x:c r="G193" s="2" t="n">
        <x:f>'Daily inputs'!G193</x:f>
        <x:v>4</x:v>
      </x:c>
      <x:c r="H193" s="2" t="n">
        <x:f>'Daily inputs'!H193</x:f>
        <x:v>32</x:v>
      </x:c>
      <x:c r="I193" s="2" t="n">
        <x:f>'Daily inputs'!I193</x:f>
        <x:v>0</x:v>
      </x:c>
      <x:c r="J193" s="2" t="n">
        <x:f>'Daily inputs'!J193</x:f>
        <x:v>0</x:v>
      </x:c>
      <x:c r="K193" s="2" t="n">
        <x:f>'Daily inputs'!K193</x:f>
        <x:v>0</x:v>
      </x:c>
      <x:c r="L193" s="2" t="n">
        <x:f>MIN(F193,G193+H193-I193)</x:f>
        <x:v>31</x:v>
      </x:c>
      <x:c r="M193" s="2" t="n">
        <x:f>G193+H193-L193-I193</x:f>
        <x:v>5</x:v>
      </x:c>
      <x:c r="N193" s="2" t="n">
        <x:f>F193-L193</x:f>
        <x:v>0</x:v>
      </x:c>
      <x:c r="O193" s="2" t="n">
        <x:f>N193-J193</x:f>
        <x:v>0</x:v>
      </x:c>
      <x:c r="P193" s="2" t="n">
        <x:f>L193+I193</x:f>
        <x:v>31</x:v>
      </x:c>
      <x:c r="Q193" s="8" t="n">
        <x:f>P193*E193</x:f>
        <x:v>93</x:v>
      </x:c>
      <x:c r="R193" s="8" t="n">
        <x:f>I193*E193</x:f>
        <x:v>0</x:v>
      </x:c>
      <x:c r="S193" s="8" t="n">
        <x:f>O193*E193</x:f>
        <x:v>0</x:v>
      </x:c>
      <x:c r="T193" s="2" t="n">
        <x:f>IF(A193&lt;DATE(2025,12,1),"",IF(D193="Closed",0,ROUND(AVERAGEIFS('Daily inputs'!$F$2:$F$367,'Daily inputs'!$B$2:$B$367,B193,'Daily inputs'!$C$2:$C$367,C193,'Daily inputs'!$D$2:$D$367,"Training"),0)))</x:f>
        <x:v>28</x:v>
      </x:c>
      <x:c r="U193" s="2" t="n">
        <x:f>IF(A193&lt;DATE(2025,12,1),"",ROUND(T193*IF(D193="Christmas",Notes!$B$9,Notes!$B$8),0))</x:f>
        <x:v>29</x:v>
      </x:c>
      <x:c r="V193" s="2" t="n">
        <x:f>IF(A193&lt;DATE(2025,12,1),"",ABS(T193-F193))</x:f>
        <x:v>3</x:v>
      </x:c>
      <x:c r="W193" s="2" t="n">
        <x:f>IF(A193&lt;DATE(2025,12,1),"",ABS(U193-F193))</x:f>
        <x:v>2</x:v>
      </x:c>
      <x:c r="X193" s="2" t="n">
        <x:f>IF(A193&lt;DATE(2025,12,1),"",T193-F193)</x:f>
        <x:v>-3</x:v>
      </x:c>
      <x:c r="Y193" s="2" t="n">
        <x:f>IF(A193&lt;DATE(2025,12,1),"",U193-F193)</x:f>
        <x:v>-2</x:v>
      </x:c>
      <x:c r="Z193" s="2" t="n">
        <x:f>IF(N193&gt;0,1,0)</x:f>
        <x:v>0</x:v>
      </x:c>
    </x:row>
    <x:row r="194" ht="21" customHeight="1">
      <x:c r="A194" s="6" t="n">
        <x:f>'Daily inputs'!A194</x:f>
        <x:v>45994</x:v>
      </x:c>
      <x:c r="B194" s="2" t="str">
        <x:f>'Daily inputs'!B194</x:f>
        <x:v>I01</x:v>
      </x:c>
      <x:c r="C194" s="2" t="n">
        <x:f>'Daily inputs'!C194</x:f>
        <x:v>3</x:v>
      </x:c>
      <x:c r="D194" s="2" t="str">
        <x:f>'Daily inputs'!D194</x:f>
        <x:v>December normal</x:v>
      </x:c>
      <x:c r="E194" s="7" t="n">
        <x:f>'Daily inputs'!E194</x:f>
        <x:v>8.5</x:v>
      </x:c>
      <x:c r="F194" s="2" t="n">
        <x:f>'Daily inputs'!F194</x:f>
        <x:v>71</x:v>
      </x:c>
      <x:c r="G194" s="2" t="n">
        <x:f>'Daily inputs'!G194</x:f>
        <x:v>10</x:v>
      </x:c>
      <x:c r="H194" s="2" t="n">
        <x:f>'Daily inputs'!H194</x:f>
        <x:v>72</x:v>
      </x:c>
      <x:c r="I194" s="2" t="n">
        <x:f>'Daily inputs'!I194</x:f>
        <x:v>0</x:v>
      </x:c>
      <x:c r="J194" s="2" t="n">
        <x:f>'Daily inputs'!J194</x:f>
        <x:v>0</x:v>
      </x:c>
      <x:c r="K194" s="2" t="n">
        <x:f>'Daily inputs'!K194</x:f>
        <x:v>0</x:v>
      </x:c>
      <x:c r="L194" s="2" t="n">
        <x:f>MIN(F194,G194+H194-I194)</x:f>
        <x:v>71</x:v>
      </x:c>
      <x:c r="M194" s="2" t="n">
        <x:f>G194+H194-L194-I194</x:f>
        <x:v>11</x:v>
      </x:c>
      <x:c r="N194" s="2" t="n">
        <x:f>F194-L194</x:f>
        <x:v>0</x:v>
      </x:c>
      <x:c r="O194" s="2" t="n">
        <x:f>N194-J194</x:f>
        <x:v>0</x:v>
      </x:c>
      <x:c r="P194" s="2" t="n">
        <x:f>L194+I194</x:f>
        <x:v>71</x:v>
      </x:c>
      <x:c r="Q194" s="8" t="n">
        <x:f>P194*E194</x:f>
        <x:v>603.5</x:v>
      </x:c>
      <x:c r="R194" s="8" t="n">
        <x:f>I194*E194</x:f>
        <x:v>0</x:v>
      </x:c>
      <x:c r="S194" s="8" t="n">
        <x:f>O194*E194</x:f>
        <x:v>0</x:v>
      </x:c>
      <x:c r="T194" s="2" t="n">
        <x:f>IF(A194&lt;DATE(2025,12,1),"",IF(D194="Closed",0,ROUND(AVERAGEIFS('Daily inputs'!$F$2:$F$367,'Daily inputs'!$B$2:$B$367,B194,'Daily inputs'!$C$2:$C$367,C194,'Daily inputs'!$D$2:$D$367,"Training"),0)))</x:f>
        <x:v>67</x:v>
      </x:c>
      <x:c r="U194" s="2" t="n">
        <x:f>IF(A194&lt;DATE(2025,12,1),"",ROUND(T194*IF(D194="Christmas",Notes!$B$9,Notes!$B$8),0))</x:f>
        <x:v>70</x:v>
      </x:c>
      <x:c r="V194" s="2" t="n">
        <x:f>IF(A194&lt;DATE(2025,12,1),"",ABS(T194-F194))</x:f>
        <x:v>4</x:v>
      </x:c>
      <x:c r="W194" s="2" t="n">
        <x:f>IF(A194&lt;DATE(2025,12,1),"",ABS(U194-F194))</x:f>
        <x:v>1</x:v>
      </x:c>
      <x:c r="X194" s="2" t="n">
        <x:f>IF(A194&lt;DATE(2025,12,1),"",T194-F194)</x:f>
        <x:v>-4</x:v>
      </x:c>
      <x:c r="Y194" s="2" t="n">
        <x:f>IF(A194&lt;DATE(2025,12,1),"",U194-F194)</x:f>
        <x:v>-1</x:v>
      </x:c>
      <x:c r="Z194" s="2" t="n">
        <x:f>IF(N194&gt;0,1,0)</x:f>
        <x:v>0</x:v>
      </x:c>
    </x:row>
    <x:row r="195" ht="21" customHeight="1">
      <x:c r="A195" s="6" t="n">
        <x:f>'Daily inputs'!A195</x:f>
        <x:v>45994</x:v>
      </x:c>
      <x:c r="B195" s="2" t="str">
        <x:f>'Daily inputs'!B195</x:f>
        <x:v>I02</x:v>
      </x:c>
      <x:c r="C195" s="2" t="n">
        <x:f>'Daily inputs'!C195</x:f>
        <x:v>3</x:v>
      </x:c>
      <x:c r="D195" s="2" t="str">
        <x:f>'Daily inputs'!D195</x:f>
        <x:v>December normal</x:v>
      </x:c>
      <x:c r="E195" s="7" t="n">
        <x:f>'Daily inputs'!E195</x:f>
        <x:v>8</x:v>
      </x:c>
      <x:c r="F195" s="2" t="n">
        <x:f>'Daily inputs'!F195</x:f>
        <x:v>54</x:v>
      </x:c>
      <x:c r="G195" s="2" t="n">
        <x:f>'Daily inputs'!G195</x:f>
        <x:v>8</x:v>
      </x:c>
      <x:c r="H195" s="2" t="n">
        <x:f>'Daily inputs'!H195</x:f>
        <x:v>54</x:v>
      </x:c>
      <x:c r="I195" s="2" t="n">
        <x:f>'Daily inputs'!I195</x:f>
        <x:v>0</x:v>
      </x:c>
      <x:c r="J195" s="2" t="n">
        <x:f>'Daily inputs'!J195</x:f>
        <x:v>0</x:v>
      </x:c>
      <x:c r="K195" s="2" t="n">
        <x:f>'Daily inputs'!K195</x:f>
        <x:v>0</x:v>
      </x:c>
      <x:c r="L195" s="2" t="n">
        <x:f>MIN(F195,G195+H195-I195)</x:f>
        <x:v>54</x:v>
      </x:c>
      <x:c r="M195" s="2" t="n">
        <x:f>G195+H195-L195-I195</x:f>
        <x:v>8</x:v>
      </x:c>
      <x:c r="N195" s="2" t="n">
        <x:f>F195-L195</x:f>
        <x:v>0</x:v>
      </x:c>
      <x:c r="O195" s="2" t="n">
        <x:f>N195-J195</x:f>
        <x:v>0</x:v>
      </x:c>
      <x:c r="P195" s="2" t="n">
        <x:f>L195+I195</x:f>
        <x:v>54</x:v>
      </x:c>
      <x:c r="Q195" s="8" t="n">
        <x:f>P195*E195</x:f>
        <x:v>432</x:v>
      </x:c>
      <x:c r="R195" s="8" t="n">
        <x:f>I195*E195</x:f>
        <x:v>0</x:v>
      </x:c>
      <x:c r="S195" s="8" t="n">
        <x:f>O195*E195</x:f>
        <x:v>0</x:v>
      </x:c>
      <x:c r="T195" s="2" t="n">
        <x:f>IF(A195&lt;DATE(2025,12,1),"",IF(D195="Closed",0,ROUND(AVERAGEIFS('Daily inputs'!$F$2:$F$367,'Daily inputs'!$B$2:$B$367,B195,'Daily inputs'!$C$2:$C$367,C195,'Daily inputs'!$D$2:$D$367,"Training"),0)))</x:f>
        <x:v>54</x:v>
      </x:c>
      <x:c r="U195" s="2" t="n">
        <x:f>IF(A195&lt;DATE(2025,12,1),"",ROUND(T195*IF(D195="Christmas",Notes!$B$9,Notes!$B$8),0))</x:f>
        <x:v>56</x:v>
      </x:c>
      <x:c r="V195" s="2" t="n">
        <x:f>IF(A195&lt;DATE(2025,12,1),"",ABS(T195-F195))</x:f>
        <x:v>0</x:v>
      </x:c>
      <x:c r="W195" s="2" t="n">
        <x:f>IF(A195&lt;DATE(2025,12,1),"",ABS(U195-F195))</x:f>
        <x:v>2</x:v>
      </x:c>
      <x:c r="X195" s="2" t="n">
        <x:f>IF(A195&lt;DATE(2025,12,1),"",T195-F195)</x:f>
        <x:v>0</x:v>
      </x:c>
      <x:c r="Y195" s="2" t="n">
        <x:f>IF(A195&lt;DATE(2025,12,1),"",U195-F195)</x:f>
        <x:v>2</x:v>
      </x:c>
      <x:c r="Z195" s="2" t="n">
        <x:f>IF(N195&gt;0,1,0)</x:f>
        <x:v>0</x:v>
      </x:c>
    </x:row>
    <x:row r="196" ht="21" customHeight="1">
      <x:c r="A196" s="6" t="n">
        <x:f>'Daily inputs'!A196</x:f>
        <x:v>45994</x:v>
      </x:c>
      <x:c r="B196" s="2" t="str">
        <x:f>'Daily inputs'!B196</x:f>
        <x:v>I03</x:v>
      </x:c>
      <x:c r="C196" s="2" t="n">
        <x:f>'Daily inputs'!C196</x:f>
        <x:v>3</x:v>
      </x:c>
      <x:c r="D196" s="2" t="str">
        <x:f>'Daily inputs'!D196</x:f>
        <x:v>December normal</x:v>
      </x:c>
      <x:c r="E196" s="7" t="n">
        <x:f>'Daily inputs'!E196</x:f>
        <x:v>7.5</x:v>
      </x:c>
      <x:c r="F196" s="2" t="n">
        <x:f>'Daily inputs'!F196</x:f>
        <x:v>33</x:v>
      </x:c>
      <x:c r="G196" s="2" t="n">
        <x:f>'Daily inputs'!G196</x:f>
        <x:v>5</x:v>
      </x:c>
      <x:c r="H196" s="2" t="n">
        <x:f>'Daily inputs'!H196</x:f>
        <x:v>33</x:v>
      </x:c>
      <x:c r="I196" s="2" t="n">
        <x:f>'Daily inputs'!I196</x:f>
        <x:v>0</x:v>
      </x:c>
      <x:c r="J196" s="2" t="n">
        <x:f>'Daily inputs'!J196</x:f>
        <x:v>0</x:v>
      </x:c>
      <x:c r="K196" s="2" t="n">
        <x:f>'Daily inputs'!K196</x:f>
        <x:v>0</x:v>
      </x:c>
      <x:c r="L196" s="2" t="n">
        <x:f>MIN(F196,G196+H196-I196)</x:f>
        <x:v>33</x:v>
      </x:c>
      <x:c r="M196" s="2" t="n">
        <x:f>G196+H196-L196-I196</x:f>
        <x:v>5</x:v>
      </x:c>
      <x:c r="N196" s="2" t="n">
        <x:f>F196-L196</x:f>
        <x:v>0</x:v>
      </x:c>
      <x:c r="O196" s="2" t="n">
        <x:f>N196-J196</x:f>
        <x:v>0</x:v>
      </x:c>
      <x:c r="P196" s="2" t="n">
        <x:f>L196+I196</x:f>
        <x:v>33</x:v>
      </x:c>
      <x:c r="Q196" s="8" t="n">
        <x:f>P196*E196</x:f>
        <x:v>247.5</x:v>
      </x:c>
      <x:c r="R196" s="8" t="n">
        <x:f>I196*E196</x:f>
        <x:v>0</x:v>
      </x:c>
      <x:c r="S196" s="8" t="n">
        <x:f>O196*E196</x:f>
        <x:v>0</x:v>
      </x:c>
      <x:c r="T196" s="2" t="n">
        <x:f>IF(A196&lt;DATE(2025,12,1),"",IF(D196="Closed",0,ROUND(AVERAGEIFS('Daily inputs'!$F$2:$F$367,'Daily inputs'!$B$2:$B$367,B196,'Daily inputs'!$C$2:$C$367,C196,'Daily inputs'!$D$2:$D$367,"Training"),0)))</x:f>
        <x:v>32</x:v>
      </x:c>
      <x:c r="U196" s="2" t="n">
        <x:f>IF(A196&lt;DATE(2025,12,1),"",ROUND(T196*IF(D196="Christmas",Notes!$B$9,Notes!$B$8),0))</x:f>
        <x:v>33</x:v>
      </x:c>
      <x:c r="V196" s="2" t="n">
        <x:f>IF(A196&lt;DATE(2025,12,1),"",ABS(T196-F196))</x:f>
        <x:v>1</x:v>
      </x:c>
      <x:c r="W196" s="2" t="n">
        <x:f>IF(A196&lt;DATE(2025,12,1),"",ABS(U196-F196))</x:f>
        <x:v>0</x:v>
      </x:c>
      <x:c r="X196" s="2" t="n">
        <x:f>IF(A196&lt;DATE(2025,12,1),"",T196-F196)</x:f>
        <x:v>-1</x:v>
      </x:c>
      <x:c r="Y196" s="2" t="n">
        <x:f>IF(A196&lt;DATE(2025,12,1),"",U196-F196)</x:f>
        <x:v>0</x:v>
      </x:c>
      <x:c r="Z196" s="2" t="n">
        <x:f>IF(N196&gt;0,1,0)</x:f>
        <x:v>0</x:v>
      </x:c>
    </x:row>
    <x:row r="197" ht="21" customHeight="1">
      <x:c r="A197" s="6" t="n">
        <x:f>'Daily inputs'!A197</x:f>
        <x:v>45994</x:v>
      </x:c>
      <x:c r="B197" s="2" t="str">
        <x:f>'Daily inputs'!B197</x:f>
        <x:v>I04</x:v>
      </x:c>
      <x:c r="C197" s="2" t="n">
        <x:f>'Daily inputs'!C197</x:f>
        <x:v>3</x:v>
      </x:c>
      <x:c r="D197" s="2" t="str">
        <x:f>'Daily inputs'!D197</x:f>
        <x:v>December normal</x:v>
      </x:c>
      <x:c r="E197" s="7" t="n">
        <x:f>'Daily inputs'!E197</x:f>
        <x:v>9</x:v>
      </x:c>
      <x:c r="F197" s="2" t="n">
        <x:f>'Daily inputs'!F197</x:f>
        <x:v>37</x:v>
      </x:c>
      <x:c r="G197" s="2" t="n">
        <x:f>'Daily inputs'!G197</x:f>
        <x:v>6</x:v>
      </x:c>
      <x:c r="H197" s="2" t="n">
        <x:f>'Daily inputs'!H197</x:f>
        <x:v>37</x:v>
      </x:c>
      <x:c r="I197" s="2" t="n">
        <x:f>'Daily inputs'!I197</x:f>
        <x:v>0</x:v>
      </x:c>
      <x:c r="J197" s="2" t="n">
        <x:f>'Daily inputs'!J197</x:f>
        <x:v>0</x:v>
      </x:c>
      <x:c r="K197" s="2" t="n">
        <x:f>'Daily inputs'!K197</x:f>
        <x:v>0</x:v>
      </x:c>
      <x:c r="L197" s="2" t="n">
        <x:f>MIN(F197,G197+H197-I197)</x:f>
        <x:v>37</x:v>
      </x:c>
      <x:c r="M197" s="2" t="n">
        <x:f>G197+H197-L197-I197</x:f>
        <x:v>6</x:v>
      </x:c>
      <x:c r="N197" s="2" t="n">
        <x:f>F197-L197</x:f>
        <x:v>0</x:v>
      </x:c>
      <x:c r="O197" s="2" t="n">
        <x:f>N197-J197</x:f>
        <x:v>0</x:v>
      </x:c>
      <x:c r="P197" s="2" t="n">
        <x:f>L197+I197</x:f>
        <x:v>37</x:v>
      </x:c>
      <x:c r="Q197" s="8" t="n">
        <x:f>P197*E197</x:f>
        <x:v>333</x:v>
      </x:c>
      <x:c r="R197" s="8" t="n">
        <x:f>I197*E197</x:f>
        <x:v>0</x:v>
      </x:c>
      <x:c r="S197" s="8" t="n">
        <x:f>O197*E197</x:f>
        <x:v>0</x:v>
      </x:c>
      <x:c r="T197" s="2" t="n">
        <x:f>IF(A197&lt;DATE(2025,12,1),"",IF(D197="Closed",0,ROUND(AVERAGEIFS('Daily inputs'!$F$2:$F$367,'Daily inputs'!$B$2:$B$367,B197,'Daily inputs'!$C$2:$C$367,C197,'Daily inputs'!$D$2:$D$367,"Training"),0)))</x:f>
        <x:v>37</x:v>
      </x:c>
      <x:c r="U197" s="2" t="n">
        <x:f>IF(A197&lt;DATE(2025,12,1),"",ROUND(T197*IF(D197="Christmas",Notes!$B$9,Notes!$B$8),0))</x:f>
        <x:v>38</x:v>
      </x:c>
      <x:c r="V197" s="2" t="n">
        <x:f>IF(A197&lt;DATE(2025,12,1),"",ABS(T197-F197))</x:f>
        <x:v>0</x:v>
      </x:c>
      <x:c r="W197" s="2" t="n">
        <x:f>IF(A197&lt;DATE(2025,12,1),"",ABS(U197-F197))</x:f>
        <x:v>1</x:v>
      </x:c>
      <x:c r="X197" s="2" t="n">
        <x:f>IF(A197&lt;DATE(2025,12,1),"",T197-F197)</x:f>
        <x:v>0</x:v>
      </x:c>
      <x:c r="Y197" s="2" t="n">
        <x:f>IF(A197&lt;DATE(2025,12,1),"",U197-F197)</x:f>
        <x:v>1</x:v>
      </x:c>
      <x:c r="Z197" s="2" t="n">
        <x:f>IF(N197&gt;0,1,0)</x:f>
        <x:v>0</x:v>
      </x:c>
    </x:row>
    <x:row r="198" ht="21" customHeight="1">
      <x:c r="A198" s="6" t="n">
        <x:f>'Daily inputs'!A198</x:f>
        <x:v>45994</x:v>
      </x:c>
      <x:c r="B198" s="2" t="str">
        <x:f>'Daily inputs'!B198</x:f>
        <x:v>I05</x:v>
      </x:c>
      <x:c r="C198" s="2" t="n">
        <x:f>'Daily inputs'!C198</x:f>
        <x:v>3</x:v>
      </x:c>
      <x:c r="D198" s="2" t="str">
        <x:f>'Daily inputs'!D198</x:f>
        <x:v>December normal</x:v>
      </x:c>
      <x:c r="E198" s="7" t="n">
        <x:f>'Daily inputs'!E198</x:f>
        <x:v>3.5</x:v>
      </x:c>
      <x:c r="F198" s="2" t="n">
        <x:f>'Daily inputs'!F198</x:f>
        <x:v>76</x:v>
      </x:c>
      <x:c r="G198" s="2" t="n">
        <x:f>'Daily inputs'!G198</x:f>
        <x:v>12</x:v>
      </x:c>
      <x:c r="H198" s="2" t="n">
        <x:f>'Daily inputs'!H198</x:f>
        <x:v>75</x:v>
      </x:c>
      <x:c r="I198" s="2" t="n">
        <x:f>'Daily inputs'!I198</x:f>
        <x:v>0</x:v>
      </x:c>
      <x:c r="J198" s="2" t="n">
        <x:f>'Daily inputs'!J198</x:f>
        <x:v>0</x:v>
      </x:c>
      <x:c r="K198" s="2" t="n">
        <x:f>'Daily inputs'!K198</x:f>
        <x:v>0</x:v>
      </x:c>
      <x:c r="L198" s="2" t="n">
        <x:f>MIN(F198,G198+H198-I198)</x:f>
        <x:v>76</x:v>
      </x:c>
      <x:c r="M198" s="2" t="n">
        <x:f>G198+H198-L198-I198</x:f>
        <x:v>11</x:v>
      </x:c>
      <x:c r="N198" s="2" t="n">
        <x:f>F198-L198</x:f>
        <x:v>0</x:v>
      </x:c>
      <x:c r="O198" s="2" t="n">
        <x:f>N198-J198</x:f>
        <x:v>0</x:v>
      </x:c>
      <x:c r="P198" s="2" t="n">
        <x:f>L198+I198</x:f>
        <x:v>76</x:v>
      </x:c>
      <x:c r="Q198" s="8" t="n">
        <x:f>P198*E198</x:f>
        <x:v>266</x:v>
      </x:c>
      <x:c r="R198" s="8" t="n">
        <x:f>I198*E198</x:f>
        <x:v>0</x:v>
      </x:c>
      <x:c r="S198" s="8" t="n">
        <x:f>O198*E198</x:f>
        <x:v>0</x:v>
      </x:c>
      <x:c r="T198" s="2" t="n">
        <x:f>IF(A198&lt;DATE(2025,12,1),"",IF(D198="Closed",0,ROUND(AVERAGEIFS('Daily inputs'!$F$2:$F$367,'Daily inputs'!$B$2:$B$367,B198,'Daily inputs'!$C$2:$C$367,C198,'Daily inputs'!$D$2:$D$367,"Training"),0)))</x:f>
        <x:v>76</x:v>
      </x:c>
      <x:c r="U198" s="2" t="n">
        <x:f>IF(A198&lt;DATE(2025,12,1),"",ROUND(T198*IF(D198="Christmas",Notes!$B$9,Notes!$B$8),0))</x:f>
        <x:v>79</x:v>
      </x:c>
      <x:c r="V198" s="2" t="n">
        <x:f>IF(A198&lt;DATE(2025,12,1),"",ABS(T198-F198))</x:f>
        <x:v>0</x:v>
      </x:c>
      <x:c r="W198" s="2" t="n">
        <x:f>IF(A198&lt;DATE(2025,12,1),"",ABS(U198-F198))</x:f>
        <x:v>3</x:v>
      </x:c>
      <x:c r="X198" s="2" t="n">
        <x:f>IF(A198&lt;DATE(2025,12,1),"",T198-F198)</x:f>
        <x:v>0</x:v>
      </x:c>
      <x:c r="Y198" s="2" t="n">
        <x:f>IF(A198&lt;DATE(2025,12,1),"",U198-F198)</x:f>
        <x:v>3</x:v>
      </x:c>
      <x:c r="Z198" s="2" t="n">
        <x:f>IF(N198&gt;0,1,0)</x:f>
        <x:v>0</x:v>
      </x:c>
    </x:row>
    <x:row r="199" ht="21" customHeight="1">
      <x:c r="A199" s="6" t="n">
        <x:f>'Daily inputs'!A199</x:f>
        <x:v>45994</x:v>
      </x:c>
      <x:c r="B199" s="2" t="str">
        <x:f>'Daily inputs'!B199</x:f>
        <x:v>I06</x:v>
      </x:c>
      <x:c r="C199" s="2" t="n">
        <x:f>'Daily inputs'!C199</x:f>
        <x:v>3</x:v>
      </x:c>
      <x:c r="D199" s="2" t="str">
        <x:f>'Daily inputs'!D199</x:f>
        <x:v>December normal</x:v>
      </x:c>
      <x:c r="E199" s="7" t="n">
        <x:f>'Daily inputs'!E199</x:f>
        <x:v>3</x:v>
      </x:c>
      <x:c r="F199" s="2" t="n">
        <x:f>'Daily inputs'!F199</x:f>
        <x:v>31</x:v>
      </x:c>
      <x:c r="G199" s="2" t="n">
        <x:f>'Daily inputs'!G199</x:f>
        <x:v>5</x:v>
      </x:c>
      <x:c r="H199" s="2" t="n">
        <x:f>'Daily inputs'!H199</x:f>
        <x:v>31</x:v>
      </x:c>
      <x:c r="I199" s="2" t="n">
        <x:f>'Daily inputs'!I199</x:f>
        <x:v>0</x:v>
      </x:c>
      <x:c r="J199" s="2" t="n">
        <x:f>'Daily inputs'!J199</x:f>
        <x:v>0</x:v>
      </x:c>
      <x:c r="K199" s="2" t="n">
        <x:f>'Daily inputs'!K199</x:f>
        <x:v>0</x:v>
      </x:c>
      <x:c r="L199" s="2" t="n">
        <x:f>MIN(F199,G199+H199-I199)</x:f>
        <x:v>31</x:v>
      </x:c>
      <x:c r="M199" s="2" t="n">
        <x:f>G199+H199-L199-I199</x:f>
        <x:v>5</x:v>
      </x:c>
      <x:c r="N199" s="2" t="n">
        <x:f>F199-L199</x:f>
        <x:v>0</x:v>
      </x:c>
      <x:c r="O199" s="2" t="n">
        <x:f>N199-J199</x:f>
        <x:v>0</x:v>
      </x:c>
      <x:c r="P199" s="2" t="n">
        <x:f>L199+I199</x:f>
        <x:v>31</x:v>
      </x:c>
      <x:c r="Q199" s="8" t="n">
        <x:f>P199*E199</x:f>
        <x:v>93</x:v>
      </x:c>
      <x:c r="R199" s="8" t="n">
        <x:f>I199*E199</x:f>
        <x:v>0</x:v>
      </x:c>
      <x:c r="S199" s="8" t="n">
        <x:f>O199*E199</x:f>
        <x:v>0</x:v>
      </x:c>
      <x:c r="T199" s="2" t="n">
        <x:f>IF(A199&lt;DATE(2025,12,1),"",IF(D199="Closed",0,ROUND(AVERAGEIFS('Daily inputs'!$F$2:$F$367,'Daily inputs'!$B$2:$B$367,B199,'Daily inputs'!$C$2:$C$367,C199,'Daily inputs'!$D$2:$D$367,"Training"),0)))</x:f>
        <x:v>29</x:v>
      </x:c>
      <x:c r="U199" s="2" t="n">
        <x:f>IF(A199&lt;DATE(2025,12,1),"",ROUND(T199*IF(D199="Christmas",Notes!$B$9,Notes!$B$8),0))</x:f>
        <x:v>30</x:v>
      </x:c>
      <x:c r="V199" s="2" t="n">
        <x:f>IF(A199&lt;DATE(2025,12,1),"",ABS(T199-F199))</x:f>
        <x:v>2</x:v>
      </x:c>
      <x:c r="W199" s="2" t="n">
        <x:f>IF(A199&lt;DATE(2025,12,1),"",ABS(U199-F199))</x:f>
        <x:v>1</x:v>
      </x:c>
      <x:c r="X199" s="2" t="n">
        <x:f>IF(A199&lt;DATE(2025,12,1),"",T199-F199)</x:f>
        <x:v>-2</x:v>
      </x:c>
      <x:c r="Y199" s="2" t="n">
        <x:f>IF(A199&lt;DATE(2025,12,1),"",U199-F199)</x:f>
        <x:v>-1</x:v>
      </x:c>
      <x:c r="Z199" s="2" t="n">
        <x:f>IF(N199&gt;0,1,0)</x:f>
        <x:v>0</x:v>
      </x:c>
    </x:row>
    <x:row r="200" ht="21" customHeight="1">
      <x:c r="A200" s="6" t="n">
        <x:f>'Daily inputs'!A200</x:f>
        <x:v>45995</x:v>
      </x:c>
      <x:c r="B200" s="2" t="str">
        <x:f>'Daily inputs'!B200</x:f>
        <x:v>I01</x:v>
      </x:c>
      <x:c r="C200" s="2" t="n">
        <x:f>'Daily inputs'!C200</x:f>
        <x:v>4</x:v>
      </x:c>
      <x:c r="D200" s="2" t="str">
        <x:f>'Daily inputs'!D200</x:f>
        <x:v>December normal</x:v>
      </x:c>
      <x:c r="E200" s="7" t="n">
        <x:f>'Daily inputs'!E200</x:f>
        <x:v>8.5</x:v>
      </x:c>
      <x:c r="F200" s="2" t="n">
        <x:f>'Daily inputs'!F200</x:f>
        <x:v>72</x:v>
      </x:c>
      <x:c r="G200" s="2" t="n">
        <x:f>'Daily inputs'!G200</x:f>
        <x:v>11</x:v>
      </x:c>
      <x:c r="H200" s="2" t="n">
        <x:f>'Daily inputs'!H200</x:f>
        <x:v>72</x:v>
      </x:c>
      <x:c r="I200" s="2" t="n">
        <x:f>'Daily inputs'!I200</x:f>
        <x:v>0</x:v>
      </x:c>
      <x:c r="J200" s="2" t="n">
        <x:f>'Daily inputs'!J200</x:f>
        <x:v>0</x:v>
      </x:c>
      <x:c r="K200" s="2" t="n">
        <x:f>'Daily inputs'!K200</x:f>
        <x:v>0</x:v>
      </x:c>
      <x:c r="L200" s="2" t="n">
        <x:f>MIN(F200,G200+H200-I200)</x:f>
        <x:v>72</x:v>
      </x:c>
      <x:c r="M200" s="2" t="n">
        <x:f>G200+H200-L200-I200</x:f>
        <x:v>11</x:v>
      </x:c>
      <x:c r="N200" s="2" t="n">
        <x:f>F200-L200</x:f>
        <x:v>0</x:v>
      </x:c>
      <x:c r="O200" s="2" t="n">
        <x:f>N200-J200</x:f>
        <x:v>0</x:v>
      </x:c>
      <x:c r="P200" s="2" t="n">
        <x:f>L200+I200</x:f>
        <x:v>72</x:v>
      </x:c>
      <x:c r="Q200" s="8" t="n">
        <x:f>P200*E200</x:f>
        <x:v>612</x:v>
      </x:c>
      <x:c r="R200" s="8" t="n">
        <x:f>I200*E200</x:f>
        <x:v>0</x:v>
      </x:c>
      <x:c r="S200" s="8" t="n">
        <x:f>O200*E200</x:f>
        <x:v>0</x:v>
      </x:c>
      <x:c r="T200" s="2" t="n">
        <x:f>IF(A200&lt;DATE(2025,12,1),"",IF(D200="Closed",0,ROUND(AVERAGEIFS('Daily inputs'!$F$2:$F$367,'Daily inputs'!$B$2:$B$367,B200,'Daily inputs'!$C$2:$C$367,C200,'Daily inputs'!$D$2:$D$367,"Training"),0)))</x:f>
        <x:v>70</x:v>
      </x:c>
      <x:c r="U200" s="2" t="n">
        <x:f>IF(A200&lt;DATE(2025,12,1),"",ROUND(T200*IF(D200="Christmas",Notes!$B$9,Notes!$B$8),0))</x:f>
        <x:v>73</x:v>
      </x:c>
      <x:c r="V200" s="2" t="n">
        <x:f>IF(A200&lt;DATE(2025,12,1),"",ABS(T200-F200))</x:f>
        <x:v>2</x:v>
      </x:c>
      <x:c r="W200" s="2" t="n">
        <x:f>IF(A200&lt;DATE(2025,12,1),"",ABS(U200-F200))</x:f>
        <x:v>1</x:v>
      </x:c>
      <x:c r="X200" s="2" t="n">
        <x:f>IF(A200&lt;DATE(2025,12,1),"",T200-F200)</x:f>
        <x:v>-2</x:v>
      </x:c>
      <x:c r="Y200" s="2" t="n">
        <x:f>IF(A200&lt;DATE(2025,12,1),"",U200-F200)</x:f>
        <x:v>1</x:v>
      </x:c>
      <x:c r="Z200" s="2" t="n">
        <x:f>IF(N200&gt;0,1,0)</x:f>
        <x:v>0</x:v>
      </x:c>
    </x:row>
    <x:row r="201" ht="21" customHeight="1">
      <x:c r="A201" s="6" t="n">
        <x:f>'Daily inputs'!A201</x:f>
        <x:v>45995</x:v>
      </x:c>
      <x:c r="B201" s="2" t="str">
        <x:f>'Daily inputs'!B201</x:f>
        <x:v>I02</x:v>
      </x:c>
      <x:c r="C201" s="2" t="n">
        <x:f>'Daily inputs'!C201</x:f>
        <x:v>4</x:v>
      </x:c>
      <x:c r="D201" s="2" t="str">
        <x:f>'Daily inputs'!D201</x:f>
        <x:v>December normal</x:v>
      </x:c>
      <x:c r="E201" s="7" t="n">
        <x:f>'Daily inputs'!E201</x:f>
        <x:v>8</x:v>
      </x:c>
      <x:c r="F201" s="2" t="n">
        <x:f>'Daily inputs'!F201</x:f>
        <x:v>57</x:v>
      </x:c>
      <x:c r="G201" s="2" t="n">
        <x:f>'Daily inputs'!G201</x:f>
        <x:v>8</x:v>
      </x:c>
      <x:c r="H201" s="2" t="n">
        <x:f>'Daily inputs'!H201</x:f>
        <x:v>58</x:v>
      </x:c>
      <x:c r="I201" s="2" t="n">
        <x:f>'Daily inputs'!I201</x:f>
        <x:v>0</x:v>
      </x:c>
      <x:c r="J201" s="2" t="n">
        <x:f>'Daily inputs'!J201</x:f>
        <x:v>0</x:v>
      </x:c>
      <x:c r="K201" s="2" t="n">
        <x:f>'Daily inputs'!K201</x:f>
        <x:v>0</x:v>
      </x:c>
      <x:c r="L201" s="2" t="n">
        <x:f>MIN(F201,G201+H201-I201)</x:f>
        <x:v>57</x:v>
      </x:c>
      <x:c r="M201" s="2" t="n">
        <x:f>G201+H201-L201-I201</x:f>
        <x:v>9</x:v>
      </x:c>
      <x:c r="N201" s="2" t="n">
        <x:f>F201-L201</x:f>
        <x:v>0</x:v>
      </x:c>
      <x:c r="O201" s="2" t="n">
        <x:f>N201-J201</x:f>
        <x:v>0</x:v>
      </x:c>
      <x:c r="P201" s="2" t="n">
        <x:f>L201+I201</x:f>
        <x:v>57</x:v>
      </x:c>
      <x:c r="Q201" s="8" t="n">
        <x:f>P201*E201</x:f>
        <x:v>456</x:v>
      </x:c>
      <x:c r="R201" s="8" t="n">
        <x:f>I201*E201</x:f>
        <x:v>0</x:v>
      </x:c>
      <x:c r="S201" s="8" t="n">
        <x:f>O201*E201</x:f>
        <x:v>0</x:v>
      </x:c>
      <x:c r="T201" s="2" t="n">
        <x:f>IF(A201&lt;DATE(2025,12,1),"",IF(D201="Closed",0,ROUND(AVERAGEIFS('Daily inputs'!$F$2:$F$367,'Daily inputs'!$B$2:$B$367,B201,'Daily inputs'!$C$2:$C$367,C201,'Daily inputs'!$D$2:$D$367,"Training"),0)))</x:f>
        <x:v>59</x:v>
      </x:c>
      <x:c r="U201" s="2" t="n">
        <x:f>IF(A201&lt;DATE(2025,12,1),"",ROUND(T201*IF(D201="Christmas",Notes!$B$9,Notes!$B$8),0))</x:f>
        <x:v>61</x:v>
      </x:c>
      <x:c r="V201" s="2" t="n">
        <x:f>IF(A201&lt;DATE(2025,12,1),"",ABS(T201-F201))</x:f>
        <x:v>2</x:v>
      </x:c>
      <x:c r="W201" s="2" t="n">
        <x:f>IF(A201&lt;DATE(2025,12,1),"",ABS(U201-F201))</x:f>
        <x:v>4</x:v>
      </x:c>
      <x:c r="X201" s="2" t="n">
        <x:f>IF(A201&lt;DATE(2025,12,1),"",T201-F201)</x:f>
        <x:v>2</x:v>
      </x:c>
      <x:c r="Y201" s="2" t="n">
        <x:f>IF(A201&lt;DATE(2025,12,1),"",U201-F201)</x:f>
        <x:v>4</x:v>
      </x:c>
      <x:c r="Z201" s="2" t="n">
        <x:f>IF(N201&gt;0,1,0)</x:f>
        <x:v>0</x:v>
      </x:c>
    </x:row>
    <x:row r="202" ht="21" customHeight="1">
      <x:c r="A202" s="6" t="n">
        <x:f>'Daily inputs'!A202</x:f>
        <x:v>45995</x:v>
      </x:c>
      <x:c r="B202" s="2" t="str">
        <x:f>'Daily inputs'!B202</x:f>
        <x:v>I03</x:v>
      </x:c>
      <x:c r="C202" s="2" t="n">
        <x:f>'Daily inputs'!C202</x:f>
        <x:v>4</x:v>
      </x:c>
      <x:c r="D202" s="2" t="str">
        <x:f>'Daily inputs'!D202</x:f>
        <x:v>December normal</x:v>
      </x:c>
      <x:c r="E202" s="7" t="n">
        <x:f>'Daily inputs'!E202</x:f>
        <x:v>7.5</x:v>
      </x:c>
      <x:c r="F202" s="2" t="n">
        <x:f>'Daily inputs'!F202</x:f>
        <x:v>33</x:v>
      </x:c>
      <x:c r="G202" s="2" t="n">
        <x:f>'Daily inputs'!G202</x:f>
        <x:v>5</x:v>
      </x:c>
      <x:c r="H202" s="2" t="n">
        <x:f>'Daily inputs'!H202</x:f>
        <x:v>33</x:v>
      </x:c>
      <x:c r="I202" s="2" t="n">
        <x:f>'Daily inputs'!I202</x:f>
        <x:v>0</x:v>
      </x:c>
      <x:c r="J202" s="2" t="n">
        <x:f>'Daily inputs'!J202</x:f>
        <x:v>0</x:v>
      </x:c>
      <x:c r="K202" s="2" t="n">
        <x:f>'Daily inputs'!K202</x:f>
        <x:v>0</x:v>
      </x:c>
      <x:c r="L202" s="2" t="n">
        <x:f>MIN(F202,G202+H202-I202)</x:f>
        <x:v>33</x:v>
      </x:c>
      <x:c r="M202" s="2" t="n">
        <x:f>G202+H202-L202-I202</x:f>
        <x:v>5</x:v>
      </x:c>
      <x:c r="N202" s="2" t="n">
        <x:f>F202-L202</x:f>
        <x:v>0</x:v>
      </x:c>
      <x:c r="O202" s="2" t="n">
        <x:f>N202-J202</x:f>
        <x:v>0</x:v>
      </x:c>
      <x:c r="P202" s="2" t="n">
        <x:f>L202+I202</x:f>
        <x:v>33</x:v>
      </x:c>
      <x:c r="Q202" s="8" t="n">
        <x:f>P202*E202</x:f>
        <x:v>247.5</x:v>
      </x:c>
      <x:c r="R202" s="8" t="n">
        <x:f>I202*E202</x:f>
        <x:v>0</x:v>
      </x:c>
      <x:c r="S202" s="8" t="n">
        <x:f>O202*E202</x:f>
        <x:v>0</x:v>
      </x:c>
      <x:c r="T202" s="2" t="n">
        <x:f>IF(A202&lt;DATE(2025,12,1),"",IF(D202="Closed",0,ROUND(AVERAGEIFS('Daily inputs'!$F$2:$F$367,'Daily inputs'!$B$2:$B$367,B202,'Daily inputs'!$C$2:$C$367,C202,'Daily inputs'!$D$2:$D$367,"Training"),0)))</x:f>
        <x:v>34</x:v>
      </x:c>
      <x:c r="U202" s="2" t="n">
        <x:f>IF(A202&lt;DATE(2025,12,1),"",ROUND(T202*IF(D202="Christmas",Notes!$B$9,Notes!$B$8),0))</x:f>
        <x:v>35</x:v>
      </x:c>
      <x:c r="V202" s="2" t="n">
        <x:f>IF(A202&lt;DATE(2025,12,1),"",ABS(T202-F202))</x:f>
        <x:v>1</x:v>
      </x:c>
      <x:c r="W202" s="2" t="n">
        <x:f>IF(A202&lt;DATE(2025,12,1),"",ABS(U202-F202))</x:f>
        <x:v>2</x:v>
      </x:c>
      <x:c r="X202" s="2" t="n">
        <x:f>IF(A202&lt;DATE(2025,12,1),"",T202-F202)</x:f>
        <x:v>1</x:v>
      </x:c>
      <x:c r="Y202" s="2" t="n">
        <x:f>IF(A202&lt;DATE(2025,12,1),"",U202-F202)</x:f>
        <x:v>2</x:v>
      </x:c>
      <x:c r="Z202" s="2" t="n">
        <x:f>IF(N202&gt;0,1,0)</x:f>
        <x:v>0</x:v>
      </x:c>
    </x:row>
    <x:row r="203" ht="21" customHeight="1">
      <x:c r="A203" s="6" t="n">
        <x:f>'Daily inputs'!A203</x:f>
        <x:v>45995</x:v>
      </x:c>
      <x:c r="B203" s="2" t="str">
        <x:f>'Daily inputs'!B203</x:f>
        <x:v>I04</x:v>
      </x:c>
      <x:c r="C203" s="2" t="n">
        <x:f>'Daily inputs'!C203</x:f>
        <x:v>4</x:v>
      </x:c>
      <x:c r="D203" s="2" t="str">
        <x:f>'Daily inputs'!D203</x:f>
        <x:v>December normal</x:v>
      </x:c>
      <x:c r="E203" s="7" t="n">
        <x:f>'Daily inputs'!E203</x:f>
        <x:v>9</x:v>
      </x:c>
      <x:c r="F203" s="2" t="n">
        <x:f>'Daily inputs'!F203</x:f>
        <x:v>43</x:v>
      </x:c>
      <x:c r="G203" s="2" t="n">
        <x:f>'Daily inputs'!G203</x:f>
        <x:v>6</x:v>
      </x:c>
      <x:c r="H203" s="2" t="n">
        <x:f>'Daily inputs'!H203</x:f>
        <x:v>43</x:v>
      </x:c>
      <x:c r="I203" s="2" t="n">
        <x:f>'Daily inputs'!I203</x:f>
        <x:v>0</x:v>
      </x:c>
      <x:c r="J203" s="2" t="n">
        <x:f>'Daily inputs'!J203</x:f>
        <x:v>0</x:v>
      </x:c>
      <x:c r="K203" s="2" t="n">
        <x:f>'Daily inputs'!K203</x:f>
        <x:v>0</x:v>
      </x:c>
      <x:c r="L203" s="2" t="n">
        <x:f>MIN(F203,G203+H203-I203)</x:f>
        <x:v>43</x:v>
      </x:c>
      <x:c r="M203" s="2" t="n">
        <x:f>G203+H203-L203-I203</x:f>
        <x:v>6</x:v>
      </x:c>
      <x:c r="N203" s="2" t="n">
        <x:f>F203-L203</x:f>
        <x:v>0</x:v>
      </x:c>
      <x:c r="O203" s="2" t="n">
        <x:f>N203-J203</x:f>
        <x:v>0</x:v>
      </x:c>
      <x:c r="P203" s="2" t="n">
        <x:f>L203+I203</x:f>
        <x:v>43</x:v>
      </x:c>
      <x:c r="Q203" s="8" t="n">
        <x:f>P203*E203</x:f>
        <x:v>387</x:v>
      </x:c>
      <x:c r="R203" s="8" t="n">
        <x:f>I203*E203</x:f>
        <x:v>0</x:v>
      </x:c>
      <x:c r="S203" s="8" t="n">
        <x:f>O203*E203</x:f>
        <x:v>0</x:v>
      </x:c>
      <x:c r="T203" s="2" t="n">
        <x:f>IF(A203&lt;DATE(2025,12,1),"",IF(D203="Closed",0,ROUND(AVERAGEIFS('Daily inputs'!$F$2:$F$367,'Daily inputs'!$B$2:$B$367,B203,'Daily inputs'!$C$2:$C$367,C203,'Daily inputs'!$D$2:$D$367,"Training"),0)))</x:f>
        <x:v>40</x:v>
      </x:c>
      <x:c r="U203" s="2" t="n">
        <x:f>IF(A203&lt;DATE(2025,12,1),"",ROUND(T203*IF(D203="Christmas",Notes!$B$9,Notes!$B$8),0))</x:f>
        <x:v>42</x:v>
      </x:c>
      <x:c r="V203" s="2" t="n">
        <x:f>IF(A203&lt;DATE(2025,12,1),"",ABS(T203-F203))</x:f>
        <x:v>3</x:v>
      </x:c>
      <x:c r="W203" s="2" t="n">
        <x:f>IF(A203&lt;DATE(2025,12,1),"",ABS(U203-F203))</x:f>
        <x:v>1</x:v>
      </x:c>
      <x:c r="X203" s="2" t="n">
        <x:f>IF(A203&lt;DATE(2025,12,1),"",T203-F203)</x:f>
        <x:v>-3</x:v>
      </x:c>
      <x:c r="Y203" s="2" t="n">
        <x:f>IF(A203&lt;DATE(2025,12,1),"",U203-F203)</x:f>
        <x:v>-1</x:v>
      </x:c>
      <x:c r="Z203" s="2" t="n">
        <x:f>IF(N203&gt;0,1,0)</x:f>
        <x:v>0</x:v>
      </x:c>
    </x:row>
    <x:row r="204" ht="21" customHeight="1">
      <x:c r="A204" s="6" t="n">
        <x:f>'Daily inputs'!A204</x:f>
        <x:v>45995</x:v>
      </x:c>
      <x:c r="B204" s="2" t="str">
        <x:f>'Daily inputs'!B204</x:f>
        <x:v>I05</x:v>
      </x:c>
      <x:c r="C204" s="2" t="n">
        <x:f>'Daily inputs'!C204</x:f>
        <x:v>4</x:v>
      </x:c>
      <x:c r="D204" s="2" t="str">
        <x:f>'Daily inputs'!D204</x:f>
        <x:v>December normal</x:v>
      </x:c>
      <x:c r="E204" s="7" t="n">
        <x:f>'Daily inputs'!E204</x:f>
        <x:v>3.5</x:v>
      </x:c>
      <x:c r="F204" s="2" t="n">
        <x:f>'Daily inputs'!F204</x:f>
        <x:v>85</x:v>
      </x:c>
      <x:c r="G204" s="2" t="n">
        <x:f>'Daily inputs'!G204</x:f>
        <x:v>11</x:v>
      </x:c>
      <x:c r="H204" s="2" t="n">
        <x:f>'Daily inputs'!H204</x:f>
        <x:v>87</x:v>
      </x:c>
      <x:c r="I204" s="2" t="n">
        <x:f>'Daily inputs'!I204</x:f>
        <x:v>0</x:v>
      </x:c>
      <x:c r="J204" s="2" t="n">
        <x:f>'Daily inputs'!J204</x:f>
        <x:v>0</x:v>
      </x:c>
      <x:c r="K204" s="2" t="n">
        <x:f>'Daily inputs'!K204</x:f>
        <x:v>0</x:v>
      </x:c>
      <x:c r="L204" s="2" t="n">
        <x:f>MIN(F204,G204+H204-I204)</x:f>
        <x:v>85</x:v>
      </x:c>
      <x:c r="M204" s="2" t="n">
        <x:f>G204+H204-L204-I204</x:f>
        <x:v>13</x:v>
      </x:c>
      <x:c r="N204" s="2" t="n">
        <x:f>F204-L204</x:f>
        <x:v>0</x:v>
      </x:c>
      <x:c r="O204" s="2" t="n">
        <x:f>N204-J204</x:f>
        <x:v>0</x:v>
      </x:c>
      <x:c r="P204" s="2" t="n">
        <x:f>L204+I204</x:f>
        <x:v>85</x:v>
      </x:c>
      <x:c r="Q204" s="8" t="n">
        <x:f>P204*E204</x:f>
        <x:v>297.5</x:v>
      </x:c>
      <x:c r="R204" s="8" t="n">
        <x:f>I204*E204</x:f>
        <x:v>0</x:v>
      </x:c>
      <x:c r="S204" s="8" t="n">
        <x:f>O204*E204</x:f>
        <x:v>0</x:v>
      </x:c>
      <x:c r="T204" s="2" t="n">
        <x:f>IF(A204&lt;DATE(2025,12,1),"",IF(D204="Closed",0,ROUND(AVERAGEIFS('Daily inputs'!$F$2:$F$367,'Daily inputs'!$B$2:$B$367,B204,'Daily inputs'!$C$2:$C$367,C204,'Daily inputs'!$D$2:$D$367,"Training"),0)))</x:f>
        <x:v>84</x:v>
      </x:c>
      <x:c r="U204" s="2" t="n">
        <x:f>IF(A204&lt;DATE(2025,12,1),"",ROUND(T204*IF(D204="Christmas",Notes!$B$9,Notes!$B$8),0))</x:f>
        <x:v>87</x:v>
      </x:c>
      <x:c r="V204" s="2" t="n">
        <x:f>IF(A204&lt;DATE(2025,12,1),"",ABS(T204-F204))</x:f>
        <x:v>1</x:v>
      </x:c>
      <x:c r="W204" s="2" t="n">
        <x:f>IF(A204&lt;DATE(2025,12,1),"",ABS(U204-F204))</x:f>
        <x:v>2</x:v>
      </x:c>
      <x:c r="X204" s="2" t="n">
        <x:f>IF(A204&lt;DATE(2025,12,1),"",T204-F204)</x:f>
        <x:v>-1</x:v>
      </x:c>
      <x:c r="Y204" s="2" t="n">
        <x:f>IF(A204&lt;DATE(2025,12,1),"",U204-F204)</x:f>
        <x:v>2</x:v>
      </x:c>
      <x:c r="Z204" s="2" t="n">
        <x:f>IF(N204&gt;0,1,0)</x:f>
        <x:v>0</x:v>
      </x:c>
    </x:row>
    <x:row r="205" ht="21" customHeight="1">
      <x:c r="A205" s="6" t="n">
        <x:f>'Daily inputs'!A205</x:f>
        <x:v>45995</x:v>
      </x:c>
      <x:c r="B205" s="2" t="str">
        <x:f>'Daily inputs'!B205</x:f>
        <x:v>I06</x:v>
      </x:c>
      <x:c r="C205" s="2" t="n">
        <x:f>'Daily inputs'!C205</x:f>
        <x:v>4</x:v>
      </x:c>
      <x:c r="D205" s="2" t="str">
        <x:f>'Daily inputs'!D205</x:f>
        <x:v>December normal</x:v>
      </x:c>
      <x:c r="E205" s="7" t="n">
        <x:f>'Daily inputs'!E205</x:f>
        <x:v>3</x:v>
      </x:c>
      <x:c r="F205" s="2" t="n">
        <x:f>'Daily inputs'!F205</x:f>
        <x:v>34</x:v>
      </x:c>
      <x:c r="G205" s="2" t="n">
        <x:f>'Daily inputs'!G205</x:f>
        <x:v>5</x:v>
      </x:c>
      <x:c r="H205" s="2" t="n">
        <x:f>'Daily inputs'!H205</x:f>
        <x:v>34</x:v>
      </x:c>
      <x:c r="I205" s="2" t="n">
        <x:f>'Daily inputs'!I205</x:f>
        <x:v>0</x:v>
      </x:c>
      <x:c r="J205" s="2" t="n">
        <x:f>'Daily inputs'!J205</x:f>
        <x:v>0</x:v>
      </x:c>
      <x:c r="K205" s="2" t="n">
        <x:f>'Daily inputs'!K205</x:f>
        <x:v>0</x:v>
      </x:c>
      <x:c r="L205" s="2" t="n">
        <x:f>MIN(F205,G205+H205-I205)</x:f>
        <x:v>34</x:v>
      </x:c>
      <x:c r="M205" s="2" t="n">
        <x:f>G205+H205-L205-I205</x:f>
        <x:v>5</x:v>
      </x:c>
      <x:c r="N205" s="2" t="n">
        <x:f>F205-L205</x:f>
        <x:v>0</x:v>
      </x:c>
      <x:c r="O205" s="2" t="n">
        <x:f>N205-J205</x:f>
        <x:v>0</x:v>
      </x:c>
      <x:c r="P205" s="2" t="n">
        <x:f>L205+I205</x:f>
        <x:v>34</x:v>
      </x:c>
      <x:c r="Q205" s="8" t="n">
        <x:f>P205*E205</x:f>
        <x:v>102</x:v>
      </x:c>
      <x:c r="R205" s="8" t="n">
        <x:f>I205*E205</x:f>
        <x:v>0</x:v>
      </x:c>
      <x:c r="S205" s="8" t="n">
        <x:f>O205*E205</x:f>
        <x:v>0</x:v>
      </x:c>
      <x:c r="T205" s="2" t="n">
        <x:f>IF(A205&lt;DATE(2025,12,1),"",IF(D205="Closed",0,ROUND(AVERAGEIFS('Daily inputs'!$F$2:$F$367,'Daily inputs'!$B$2:$B$367,B205,'Daily inputs'!$C$2:$C$367,C205,'Daily inputs'!$D$2:$D$367,"Training"),0)))</x:f>
        <x:v>31</x:v>
      </x:c>
      <x:c r="U205" s="2" t="n">
        <x:f>IF(A205&lt;DATE(2025,12,1),"",ROUND(T205*IF(D205="Christmas",Notes!$B$9,Notes!$B$8),0))</x:f>
        <x:v>32</x:v>
      </x:c>
      <x:c r="V205" s="2" t="n">
        <x:f>IF(A205&lt;DATE(2025,12,1),"",ABS(T205-F205))</x:f>
        <x:v>3</x:v>
      </x:c>
      <x:c r="W205" s="2" t="n">
        <x:f>IF(A205&lt;DATE(2025,12,1),"",ABS(U205-F205))</x:f>
        <x:v>2</x:v>
      </x:c>
      <x:c r="X205" s="2" t="n">
        <x:f>IF(A205&lt;DATE(2025,12,1),"",T205-F205)</x:f>
        <x:v>-3</x:v>
      </x:c>
      <x:c r="Y205" s="2" t="n">
        <x:f>IF(A205&lt;DATE(2025,12,1),"",U205-F205)</x:f>
        <x:v>-2</x:v>
      </x:c>
      <x:c r="Z205" s="2" t="n">
        <x:f>IF(N205&gt;0,1,0)</x:f>
        <x:v>0</x:v>
      </x:c>
    </x:row>
    <x:row r="206" ht="21" customHeight="1">
      <x:c r="A206" s="6" t="n">
        <x:f>'Daily inputs'!A206</x:f>
        <x:v>45996</x:v>
      </x:c>
      <x:c r="B206" s="2" t="str">
        <x:f>'Daily inputs'!B206</x:f>
        <x:v>I01</x:v>
      </x:c>
      <x:c r="C206" s="2" t="n">
        <x:f>'Daily inputs'!C206</x:f>
        <x:v>5</x:v>
      </x:c>
      <x:c r="D206" s="2" t="str">
        <x:f>'Daily inputs'!D206</x:f>
        <x:v>December normal</x:v>
      </x:c>
      <x:c r="E206" s="7" t="n">
        <x:f>'Daily inputs'!E206</x:f>
        <x:v>8.5</x:v>
      </x:c>
      <x:c r="F206" s="2" t="n">
        <x:f>'Daily inputs'!F206</x:f>
        <x:v>93</x:v>
      </x:c>
      <x:c r="G206" s="2" t="n">
        <x:f>'Daily inputs'!G206</x:f>
        <x:v>11</x:v>
      </x:c>
      <x:c r="H206" s="2" t="n">
        <x:f>'Daily inputs'!H206</x:f>
        <x:v>96</x:v>
      </x:c>
      <x:c r="I206" s="2" t="n">
        <x:f>'Daily inputs'!I206</x:f>
        <x:v>0</x:v>
      </x:c>
      <x:c r="J206" s="2" t="n">
        <x:f>'Daily inputs'!J206</x:f>
        <x:v>0</x:v>
      </x:c>
      <x:c r="K206" s="2" t="n">
        <x:f>'Daily inputs'!K206</x:f>
        <x:v>0</x:v>
      </x:c>
      <x:c r="L206" s="2" t="n">
        <x:f>MIN(F206,G206+H206-I206)</x:f>
        <x:v>93</x:v>
      </x:c>
      <x:c r="M206" s="2" t="n">
        <x:f>G206+H206-L206-I206</x:f>
        <x:v>14</x:v>
      </x:c>
      <x:c r="N206" s="2" t="n">
        <x:f>F206-L206</x:f>
        <x:v>0</x:v>
      </x:c>
      <x:c r="O206" s="2" t="n">
        <x:f>N206-J206</x:f>
        <x:v>0</x:v>
      </x:c>
      <x:c r="P206" s="2" t="n">
        <x:f>L206+I206</x:f>
        <x:v>93</x:v>
      </x:c>
      <x:c r="Q206" s="8" t="n">
        <x:f>P206*E206</x:f>
        <x:v>790.5</x:v>
      </x:c>
      <x:c r="R206" s="8" t="n">
        <x:f>I206*E206</x:f>
        <x:v>0</x:v>
      </x:c>
      <x:c r="S206" s="8" t="n">
        <x:f>O206*E206</x:f>
        <x:v>0</x:v>
      </x:c>
      <x:c r="T206" s="2" t="n">
        <x:f>IF(A206&lt;DATE(2025,12,1),"",IF(D206="Closed",0,ROUND(AVERAGEIFS('Daily inputs'!$F$2:$F$367,'Daily inputs'!$B$2:$B$367,B206,'Daily inputs'!$C$2:$C$367,C206,'Daily inputs'!$D$2:$D$367,"Training"),0)))</x:f>
        <x:v>84</x:v>
      </x:c>
      <x:c r="U206" s="2" t="n">
        <x:f>IF(A206&lt;DATE(2025,12,1),"",ROUND(T206*IF(D206="Christmas",Notes!$B$9,Notes!$B$8),0))</x:f>
        <x:v>87</x:v>
      </x:c>
      <x:c r="V206" s="2" t="n">
        <x:f>IF(A206&lt;DATE(2025,12,1),"",ABS(T206-F206))</x:f>
        <x:v>9</x:v>
      </x:c>
      <x:c r="W206" s="2" t="n">
        <x:f>IF(A206&lt;DATE(2025,12,1),"",ABS(U206-F206))</x:f>
        <x:v>6</x:v>
      </x:c>
      <x:c r="X206" s="2" t="n">
        <x:f>IF(A206&lt;DATE(2025,12,1),"",T206-F206)</x:f>
        <x:v>-9</x:v>
      </x:c>
      <x:c r="Y206" s="2" t="n">
        <x:f>IF(A206&lt;DATE(2025,12,1),"",U206-F206)</x:f>
        <x:v>-6</x:v>
      </x:c>
      <x:c r="Z206" s="2" t="n">
        <x:f>IF(N206&gt;0,1,0)</x:f>
        <x:v>0</x:v>
      </x:c>
    </x:row>
    <x:row r="207" ht="21" customHeight="1">
      <x:c r="A207" s="6" t="n">
        <x:f>'Daily inputs'!A207</x:f>
        <x:v>45996</x:v>
      </x:c>
      <x:c r="B207" s="2" t="str">
        <x:f>'Daily inputs'!B207</x:f>
        <x:v>I02</x:v>
      </x:c>
      <x:c r="C207" s="2" t="n">
        <x:f>'Daily inputs'!C207</x:f>
        <x:v>5</x:v>
      </x:c>
      <x:c r="D207" s="2" t="str">
        <x:f>'Daily inputs'!D207</x:f>
        <x:v>December normal</x:v>
      </x:c>
      <x:c r="E207" s="7" t="n">
        <x:f>'Daily inputs'!E207</x:f>
        <x:v>8</x:v>
      </x:c>
      <x:c r="F207" s="2" t="n">
        <x:f>'Daily inputs'!F207</x:f>
        <x:v>69</x:v>
      </x:c>
      <x:c r="G207" s="2" t="n">
        <x:f>'Daily inputs'!G207</x:f>
        <x:v>9</x:v>
      </x:c>
      <x:c r="H207" s="2" t="n">
        <x:f>'Daily inputs'!H207</x:f>
        <x:v>70</x:v>
      </x:c>
      <x:c r="I207" s="2" t="n">
        <x:f>'Daily inputs'!I207</x:f>
        <x:v>0</x:v>
      </x:c>
      <x:c r="J207" s="2" t="n">
        <x:f>'Daily inputs'!J207</x:f>
        <x:v>0</x:v>
      </x:c>
      <x:c r="K207" s="2" t="n">
        <x:f>'Daily inputs'!K207</x:f>
        <x:v>0</x:v>
      </x:c>
      <x:c r="L207" s="2" t="n">
        <x:f>MIN(F207,G207+H207-I207)</x:f>
        <x:v>69</x:v>
      </x:c>
      <x:c r="M207" s="2" t="n">
        <x:f>G207+H207-L207-I207</x:f>
        <x:v>10</x:v>
      </x:c>
      <x:c r="N207" s="2" t="n">
        <x:f>F207-L207</x:f>
        <x:v>0</x:v>
      </x:c>
      <x:c r="O207" s="2" t="n">
        <x:f>N207-J207</x:f>
        <x:v>0</x:v>
      </x:c>
      <x:c r="P207" s="2" t="n">
        <x:f>L207+I207</x:f>
        <x:v>69</x:v>
      </x:c>
      <x:c r="Q207" s="8" t="n">
        <x:f>P207*E207</x:f>
        <x:v>552</x:v>
      </x:c>
      <x:c r="R207" s="8" t="n">
        <x:f>I207*E207</x:f>
        <x:v>0</x:v>
      </x:c>
      <x:c r="S207" s="8" t="n">
        <x:f>O207*E207</x:f>
        <x:v>0</x:v>
      </x:c>
      <x:c r="T207" s="2" t="n">
        <x:f>IF(A207&lt;DATE(2025,12,1),"",IF(D207="Closed",0,ROUND(AVERAGEIFS('Daily inputs'!$F$2:$F$367,'Daily inputs'!$B$2:$B$367,B207,'Daily inputs'!$C$2:$C$367,C207,'Daily inputs'!$D$2:$D$367,"Training"),0)))</x:f>
        <x:v>68</x:v>
      </x:c>
      <x:c r="U207" s="2" t="n">
        <x:f>IF(A207&lt;DATE(2025,12,1),"",ROUND(T207*IF(D207="Christmas",Notes!$B$9,Notes!$B$8),0))</x:f>
        <x:v>71</x:v>
      </x:c>
      <x:c r="V207" s="2" t="n">
        <x:f>IF(A207&lt;DATE(2025,12,1),"",ABS(T207-F207))</x:f>
        <x:v>1</x:v>
      </x:c>
      <x:c r="W207" s="2" t="n">
        <x:f>IF(A207&lt;DATE(2025,12,1),"",ABS(U207-F207))</x:f>
        <x:v>2</x:v>
      </x:c>
      <x:c r="X207" s="2" t="n">
        <x:f>IF(A207&lt;DATE(2025,12,1),"",T207-F207)</x:f>
        <x:v>-1</x:v>
      </x:c>
      <x:c r="Y207" s="2" t="n">
        <x:f>IF(A207&lt;DATE(2025,12,1),"",U207-F207)</x:f>
        <x:v>2</x:v>
      </x:c>
      <x:c r="Z207" s="2" t="n">
        <x:f>IF(N207&gt;0,1,0)</x:f>
        <x:v>0</x:v>
      </x:c>
    </x:row>
    <x:row r="208" ht="21" customHeight="1">
      <x:c r="A208" s="6" t="n">
        <x:f>'Daily inputs'!A208</x:f>
        <x:v>45996</x:v>
      </x:c>
      <x:c r="B208" s="2" t="str">
        <x:f>'Daily inputs'!B208</x:f>
        <x:v>I03</x:v>
      </x:c>
      <x:c r="C208" s="2" t="n">
        <x:f>'Daily inputs'!C208</x:f>
        <x:v>5</x:v>
      </x:c>
      <x:c r="D208" s="2" t="str">
        <x:f>'Daily inputs'!D208</x:f>
        <x:v>December normal</x:v>
      </x:c>
      <x:c r="E208" s="7" t="n">
        <x:f>'Daily inputs'!E208</x:f>
        <x:v>7.5</x:v>
      </x:c>
      <x:c r="F208" s="2" t="n">
        <x:f>'Daily inputs'!F208</x:f>
        <x:v>42</x:v>
      </x:c>
      <x:c r="G208" s="2" t="n">
        <x:f>'Daily inputs'!G208</x:f>
        <x:v>5</x:v>
      </x:c>
      <x:c r="H208" s="2" t="n">
        <x:f>'Daily inputs'!H208</x:f>
        <x:v>43</x:v>
      </x:c>
      <x:c r="I208" s="2" t="n">
        <x:f>'Daily inputs'!I208</x:f>
        <x:v>0</x:v>
      </x:c>
      <x:c r="J208" s="2" t="n">
        <x:f>'Daily inputs'!J208</x:f>
        <x:v>0</x:v>
      </x:c>
      <x:c r="K208" s="2" t="n">
        <x:f>'Daily inputs'!K208</x:f>
        <x:v>0</x:v>
      </x:c>
      <x:c r="L208" s="2" t="n">
        <x:f>MIN(F208,G208+H208-I208)</x:f>
        <x:v>42</x:v>
      </x:c>
      <x:c r="M208" s="2" t="n">
        <x:f>G208+H208-L208-I208</x:f>
        <x:v>6</x:v>
      </x:c>
      <x:c r="N208" s="2" t="n">
        <x:f>F208-L208</x:f>
        <x:v>0</x:v>
      </x:c>
      <x:c r="O208" s="2" t="n">
        <x:f>N208-J208</x:f>
        <x:v>0</x:v>
      </x:c>
      <x:c r="P208" s="2" t="n">
        <x:f>L208+I208</x:f>
        <x:v>42</x:v>
      </x:c>
      <x:c r="Q208" s="8" t="n">
        <x:f>P208*E208</x:f>
        <x:v>315</x:v>
      </x:c>
      <x:c r="R208" s="8" t="n">
        <x:f>I208*E208</x:f>
        <x:v>0</x:v>
      </x:c>
      <x:c r="S208" s="8" t="n">
        <x:f>O208*E208</x:f>
        <x:v>0</x:v>
      </x:c>
      <x:c r="T208" s="2" t="n">
        <x:f>IF(A208&lt;DATE(2025,12,1),"",IF(D208="Closed",0,ROUND(AVERAGEIFS('Daily inputs'!$F$2:$F$367,'Daily inputs'!$B$2:$B$367,B208,'Daily inputs'!$C$2:$C$367,C208,'Daily inputs'!$D$2:$D$367,"Training"),0)))</x:f>
        <x:v>41</x:v>
      </x:c>
      <x:c r="U208" s="2" t="n">
        <x:f>IF(A208&lt;DATE(2025,12,1),"",ROUND(T208*IF(D208="Christmas",Notes!$B$9,Notes!$B$8),0))</x:f>
        <x:v>43</x:v>
      </x:c>
      <x:c r="V208" s="2" t="n">
        <x:f>IF(A208&lt;DATE(2025,12,1),"",ABS(T208-F208))</x:f>
        <x:v>1</x:v>
      </x:c>
      <x:c r="W208" s="2" t="n">
        <x:f>IF(A208&lt;DATE(2025,12,1),"",ABS(U208-F208))</x:f>
        <x:v>1</x:v>
      </x:c>
      <x:c r="X208" s="2" t="n">
        <x:f>IF(A208&lt;DATE(2025,12,1),"",T208-F208)</x:f>
        <x:v>-1</x:v>
      </x:c>
      <x:c r="Y208" s="2" t="n">
        <x:f>IF(A208&lt;DATE(2025,12,1),"",U208-F208)</x:f>
        <x:v>1</x:v>
      </x:c>
      <x:c r="Z208" s="2" t="n">
        <x:f>IF(N208&gt;0,1,0)</x:f>
        <x:v>0</x:v>
      </x:c>
    </x:row>
    <x:row r="209" ht="21" customHeight="1">
      <x:c r="A209" s="6" t="n">
        <x:f>'Daily inputs'!A209</x:f>
        <x:v>45996</x:v>
      </x:c>
      <x:c r="B209" s="2" t="str">
        <x:f>'Daily inputs'!B209</x:f>
        <x:v>I04</x:v>
      </x:c>
      <x:c r="C209" s="2" t="n">
        <x:f>'Daily inputs'!C209</x:f>
        <x:v>5</x:v>
      </x:c>
      <x:c r="D209" s="2" t="str">
        <x:f>'Daily inputs'!D209</x:f>
        <x:v>December normal</x:v>
      </x:c>
      <x:c r="E209" s="7" t="n">
        <x:f>'Daily inputs'!E209</x:f>
        <x:v>9</x:v>
      </x:c>
      <x:c r="F209" s="2" t="n">
        <x:f>'Daily inputs'!F209</x:f>
        <x:v>52</x:v>
      </x:c>
      <x:c r="G209" s="2" t="n">
        <x:f>'Daily inputs'!G209</x:f>
        <x:v>6</x:v>
      </x:c>
      <x:c r="H209" s="2" t="n">
        <x:f>'Daily inputs'!H209</x:f>
        <x:v>54</x:v>
      </x:c>
      <x:c r="I209" s="2" t="n">
        <x:f>'Daily inputs'!I209</x:f>
        <x:v>0</x:v>
      </x:c>
      <x:c r="J209" s="2" t="n">
        <x:f>'Daily inputs'!J209</x:f>
        <x:v>0</x:v>
      </x:c>
      <x:c r="K209" s="2" t="n">
        <x:f>'Daily inputs'!K209</x:f>
        <x:v>0</x:v>
      </x:c>
      <x:c r="L209" s="2" t="n">
        <x:f>MIN(F209,G209+H209-I209)</x:f>
        <x:v>52</x:v>
      </x:c>
      <x:c r="M209" s="2" t="n">
        <x:f>G209+H209-L209-I209</x:f>
        <x:v>8</x:v>
      </x:c>
      <x:c r="N209" s="2" t="n">
        <x:f>F209-L209</x:f>
        <x:v>0</x:v>
      </x:c>
      <x:c r="O209" s="2" t="n">
        <x:f>N209-J209</x:f>
        <x:v>0</x:v>
      </x:c>
      <x:c r="P209" s="2" t="n">
        <x:f>L209+I209</x:f>
        <x:v>52</x:v>
      </x:c>
      <x:c r="Q209" s="8" t="n">
        <x:f>P209*E209</x:f>
        <x:v>468</x:v>
      </x:c>
      <x:c r="R209" s="8" t="n">
        <x:f>I209*E209</x:f>
        <x:v>0</x:v>
      </x:c>
      <x:c r="S209" s="8" t="n">
        <x:f>O209*E209</x:f>
        <x:v>0</x:v>
      </x:c>
      <x:c r="T209" s="2" t="n">
        <x:f>IF(A209&lt;DATE(2025,12,1),"",IF(D209="Closed",0,ROUND(AVERAGEIFS('Daily inputs'!$F$2:$F$367,'Daily inputs'!$B$2:$B$367,B209,'Daily inputs'!$C$2:$C$367,C209,'Daily inputs'!$D$2:$D$367,"Training"),0)))</x:f>
        <x:v>48</x:v>
      </x:c>
      <x:c r="U209" s="2" t="n">
        <x:f>IF(A209&lt;DATE(2025,12,1),"",ROUND(T209*IF(D209="Christmas",Notes!$B$9,Notes!$B$8),0))</x:f>
        <x:v>50</x:v>
      </x:c>
      <x:c r="V209" s="2" t="n">
        <x:f>IF(A209&lt;DATE(2025,12,1),"",ABS(T209-F209))</x:f>
        <x:v>4</x:v>
      </x:c>
      <x:c r="W209" s="2" t="n">
        <x:f>IF(A209&lt;DATE(2025,12,1),"",ABS(U209-F209))</x:f>
        <x:v>2</x:v>
      </x:c>
      <x:c r="X209" s="2" t="n">
        <x:f>IF(A209&lt;DATE(2025,12,1),"",T209-F209)</x:f>
        <x:v>-4</x:v>
      </x:c>
      <x:c r="Y209" s="2" t="n">
        <x:f>IF(A209&lt;DATE(2025,12,1),"",U209-F209)</x:f>
        <x:v>-2</x:v>
      </x:c>
      <x:c r="Z209" s="2" t="n">
        <x:f>IF(N209&gt;0,1,0)</x:f>
        <x:v>0</x:v>
      </x:c>
    </x:row>
    <x:row r="210" ht="21" customHeight="1">
      <x:c r="A210" s="6" t="n">
        <x:f>'Daily inputs'!A210</x:f>
        <x:v>45996</x:v>
      </x:c>
      <x:c r="B210" s="2" t="str">
        <x:f>'Daily inputs'!B210</x:f>
        <x:v>I05</x:v>
      </x:c>
      <x:c r="C210" s="2" t="n">
        <x:f>'Daily inputs'!C210</x:f>
        <x:v>5</x:v>
      </x:c>
      <x:c r="D210" s="2" t="str">
        <x:f>'Daily inputs'!D210</x:f>
        <x:v>December normal</x:v>
      </x:c>
      <x:c r="E210" s="7" t="n">
        <x:f>'Daily inputs'!E210</x:f>
        <x:v>3.5</x:v>
      </x:c>
      <x:c r="F210" s="2" t="n">
        <x:f>'Daily inputs'!F210</x:f>
        <x:v>104</x:v>
      </x:c>
      <x:c r="G210" s="2" t="n">
        <x:f>'Daily inputs'!G210</x:f>
        <x:v>13</x:v>
      </x:c>
      <x:c r="H210" s="2" t="n">
        <x:f>'Daily inputs'!H210</x:f>
        <x:v>107</x:v>
      </x:c>
      <x:c r="I210" s="2" t="n">
        <x:f>'Daily inputs'!I210</x:f>
        <x:v>0</x:v>
      </x:c>
      <x:c r="J210" s="2" t="n">
        <x:f>'Daily inputs'!J210</x:f>
        <x:v>0</x:v>
      </x:c>
      <x:c r="K210" s="2" t="n">
        <x:f>'Daily inputs'!K210</x:f>
        <x:v>0</x:v>
      </x:c>
      <x:c r="L210" s="2" t="n">
        <x:f>MIN(F210,G210+H210-I210)</x:f>
        <x:v>104</x:v>
      </x:c>
      <x:c r="M210" s="2" t="n">
        <x:f>G210+H210-L210-I210</x:f>
        <x:v>16</x:v>
      </x:c>
      <x:c r="N210" s="2" t="n">
        <x:f>F210-L210</x:f>
        <x:v>0</x:v>
      </x:c>
      <x:c r="O210" s="2" t="n">
        <x:f>N210-J210</x:f>
        <x:v>0</x:v>
      </x:c>
      <x:c r="P210" s="2" t="n">
        <x:f>L210+I210</x:f>
        <x:v>104</x:v>
      </x:c>
      <x:c r="Q210" s="8" t="n">
        <x:f>P210*E210</x:f>
        <x:v>364</x:v>
      </x:c>
      <x:c r="R210" s="8" t="n">
        <x:f>I210*E210</x:f>
        <x:v>0</x:v>
      </x:c>
      <x:c r="S210" s="8" t="n">
        <x:f>O210*E210</x:f>
        <x:v>0</x:v>
      </x:c>
      <x:c r="T210" s="2" t="n">
        <x:f>IF(A210&lt;DATE(2025,12,1),"",IF(D210="Closed",0,ROUND(AVERAGEIFS('Daily inputs'!$F$2:$F$367,'Daily inputs'!$B$2:$B$367,B210,'Daily inputs'!$C$2:$C$367,C210,'Daily inputs'!$D$2:$D$367,"Training"),0)))</x:f>
        <x:v>98</x:v>
      </x:c>
      <x:c r="U210" s="2" t="n">
        <x:f>IF(A210&lt;DATE(2025,12,1),"",ROUND(T210*IF(D210="Christmas",Notes!$B$9,Notes!$B$8),0))</x:f>
        <x:v>102</x:v>
      </x:c>
      <x:c r="V210" s="2" t="n">
        <x:f>IF(A210&lt;DATE(2025,12,1),"",ABS(T210-F210))</x:f>
        <x:v>6</x:v>
      </x:c>
      <x:c r="W210" s="2" t="n">
        <x:f>IF(A210&lt;DATE(2025,12,1),"",ABS(U210-F210))</x:f>
        <x:v>2</x:v>
      </x:c>
      <x:c r="X210" s="2" t="n">
        <x:f>IF(A210&lt;DATE(2025,12,1),"",T210-F210)</x:f>
        <x:v>-6</x:v>
      </x:c>
      <x:c r="Y210" s="2" t="n">
        <x:f>IF(A210&lt;DATE(2025,12,1),"",U210-F210)</x:f>
        <x:v>-2</x:v>
      </x:c>
      <x:c r="Z210" s="2" t="n">
        <x:f>IF(N210&gt;0,1,0)</x:f>
        <x:v>0</x:v>
      </x:c>
    </x:row>
    <x:row r="211" ht="21" customHeight="1">
      <x:c r="A211" s="6" t="n">
        <x:f>'Daily inputs'!A211</x:f>
        <x:v>45996</x:v>
      </x:c>
      <x:c r="B211" s="2" t="str">
        <x:f>'Daily inputs'!B211</x:f>
        <x:v>I06</x:v>
      </x:c>
      <x:c r="C211" s="2" t="n">
        <x:f>'Daily inputs'!C211</x:f>
        <x:v>5</x:v>
      </x:c>
      <x:c r="D211" s="2" t="str">
        <x:f>'Daily inputs'!D211</x:f>
        <x:v>December normal</x:v>
      </x:c>
      <x:c r="E211" s="7" t="n">
        <x:f>'Daily inputs'!E211</x:f>
        <x:v>3</x:v>
      </x:c>
      <x:c r="F211" s="2" t="n">
        <x:f>'Daily inputs'!F211</x:f>
        <x:v>37</x:v>
      </x:c>
      <x:c r="G211" s="2" t="n">
        <x:f>'Daily inputs'!G211</x:f>
        <x:v>5</x:v>
      </x:c>
      <x:c r="H211" s="2" t="n">
        <x:f>'Daily inputs'!H211</x:f>
        <x:v>38</x:v>
      </x:c>
      <x:c r="I211" s="2" t="n">
        <x:f>'Daily inputs'!I211</x:f>
        <x:v>0</x:v>
      </x:c>
      <x:c r="J211" s="2" t="n">
        <x:f>'Daily inputs'!J211</x:f>
        <x:v>0</x:v>
      </x:c>
      <x:c r="K211" s="2" t="n">
        <x:f>'Daily inputs'!K211</x:f>
        <x:v>0</x:v>
      </x:c>
      <x:c r="L211" s="2" t="n">
        <x:f>MIN(F211,G211+H211-I211)</x:f>
        <x:v>37</x:v>
      </x:c>
      <x:c r="M211" s="2" t="n">
        <x:f>G211+H211-L211-I211</x:f>
        <x:v>6</x:v>
      </x:c>
      <x:c r="N211" s="2" t="n">
        <x:f>F211-L211</x:f>
        <x:v>0</x:v>
      </x:c>
      <x:c r="O211" s="2" t="n">
        <x:f>N211-J211</x:f>
        <x:v>0</x:v>
      </x:c>
      <x:c r="P211" s="2" t="n">
        <x:f>L211+I211</x:f>
        <x:v>37</x:v>
      </x:c>
      <x:c r="Q211" s="8" t="n">
        <x:f>P211*E211</x:f>
        <x:v>111</x:v>
      </x:c>
      <x:c r="R211" s="8" t="n">
        <x:f>I211*E211</x:f>
        <x:v>0</x:v>
      </x:c>
      <x:c r="S211" s="8" t="n">
        <x:f>O211*E211</x:f>
        <x:v>0</x:v>
      </x:c>
      <x:c r="T211" s="2" t="n">
        <x:f>IF(A211&lt;DATE(2025,12,1),"",IF(D211="Closed",0,ROUND(AVERAGEIFS('Daily inputs'!$F$2:$F$367,'Daily inputs'!$B$2:$B$367,B211,'Daily inputs'!$C$2:$C$367,C211,'Daily inputs'!$D$2:$D$367,"Training"),0)))</x:f>
        <x:v>38</x:v>
      </x:c>
      <x:c r="U211" s="2" t="n">
        <x:f>IF(A211&lt;DATE(2025,12,1),"",ROUND(T211*IF(D211="Christmas",Notes!$B$9,Notes!$B$8),0))</x:f>
        <x:v>40</x:v>
      </x:c>
      <x:c r="V211" s="2" t="n">
        <x:f>IF(A211&lt;DATE(2025,12,1),"",ABS(T211-F211))</x:f>
        <x:v>1</x:v>
      </x:c>
      <x:c r="W211" s="2" t="n">
        <x:f>IF(A211&lt;DATE(2025,12,1),"",ABS(U211-F211))</x:f>
        <x:v>3</x:v>
      </x:c>
      <x:c r="X211" s="2" t="n">
        <x:f>IF(A211&lt;DATE(2025,12,1),"",T211-F211)</x:f>
        <x:v>1</x:v>
      </x:c>
      <x:c r="Y211" s="2" t="n">
        <x:f>IF(A211&lt;DATE(2025,12,1),"",U211-F211)</x:f>
        <x:v>3</x:v>
      </x:c>
      <x:c r="Z211" s="2" t="n">
        <x:f>IF(N211&gt;0,1,0)</x:f>
        <x:v>0</x:v>
      </x:c>
    </x:row>
    <x:row r="212" ht="21" customHeight="1">
      <x:c r="A212" s="6" t="n">
        <x:f>'Daily inputs'!A212</x:f>
        <x:v>45997</x:v>
      </x:c>
      <x:c r="B212" s="2" t="str">
        <x:f>'Daily inputs'!B212</x:f>
        <x:v>I01</x:v>
      </x:c>
      <x:c r="C212" s="2" t="n">
        <x:f>'Daily inputs'!C212</x:f>
        <x:v>6</x:v>
      </x:c>
      <x:c r="D212" s="2" t="str">
        <x:f>'Daily inputs'!D212</x:f>
        <x:v>December normal</x:v>
      </x:c>
      <x:c r="E212" s="7" t="n">
        <x:f>'Daily inputs'!E212</x:f>
        <x:v>8.5</x:v>
      </x:c>
      <x:c r="F212" s="2" t="n">
        <x:f>'Daily inputs'!F212</x:f>
        <x:v>98</x:v>
      </x:c>
      <x:c r="G212" s="2" t="n">
        <x:f>'Daily inputs'!G212</x:f>
        <x:v>14</x:v>
      </x:c>
      <x:c r="H212" s="2" t="n">
        <x:f>'Daily inputs'!H212</x:f>
        <x:v>99</x:v>
      </x:c>
      <x:c r="I212" s="2" t="n">
        <x:f>'Daily inputs'!I212</x:f>
        <x:v>0</x:v>
      </x:c>
      <x:c r="J212" s="2" t="n">
        <x:f>'Daily inputs'!J212</x:f>
        <x:v>0</x:v>
      </x:c>
      <x:c r="K212" s="2" t="n">
        <x:f>'Daily inputs'!K212</x:f>
        <x:v>0</x:v>
      </x:c>
      <x:c r="L212" s="2" t="n">
        <x:f>MIN(F212,G212+H212-I212)</x:f>
        <x:v>98</x:v>
      </x:c>
      <x:c r="M212" s="2" t="n">
        <x:f>G212+H212-L212-I212</x:f>
        <x:v>15</x:v>
      </x:c>
      <x:c r="N212" s="2" t="n">
        <x:f>F212-L212</x:f>
        <x:v>0</x:v>
      </x:c>
      <x:c r="O212" s="2" t="n">
        <x:f>N212-J212</x:f>
        <x:v>0</x:v>
      </x:c>
      <x:c r="P212" s="2" t="n">
        <x:f>L212+I212</x:f>
        <x:v>98</x:v>
      </x:c>
      <x:c r="Q212" s="8" t="n">
        <x:f>P212*E212</x:f>
        <x:v>833</x:v>
      </x:c>
      <x:c r="R212" s="8" t="n">
        <x:f>I212*E212</x:f>
        <x:v>0</x:v>
      </x:c>
      <x:c r="S212" s="8" t="n">
        <x:f>O212*E212</x:f>
        <x:v>0</x:v>
      </x:c>
      <x:c r="T212" s="2" t="n">
        <x:f>IF(A212&lt;DATE(2025,12,1),"",IF(D212="Closed",0,ROUND(AVERAGEIFS('Daily inputs'!$F$2:$F$367,'Daily inputs'!$B$2:$B$367,B212,'Daily inputs'!$C$2:$C$367,C212,'Daily inputs'!$D$2:$D$367,"Training"),0)))</x:f>
        <x:v>94</x:v>
      </x:c>
      <x:c r="U212" s="2" t="n">
        <x:f>IF(A212&lt;DATE(2025,12,1),"",ROUND(T212*IF(D212="Christmas",Notes!$B$9,Notes!$B$8),0))</x:f>
        <x:v>98</x:v>
      </x:c>
      <x:c r="V212" s="2" t="n">
        <x:f>IF(A212&lt;DATE(2025,12,1),"",ABS(T212-F212))</x:f>
        <x:v>4</x:v>
      </x:c>
      <x:c r="W212" s="2" t="n">
        <x:f>IF(A212&lt;DATE(2025,12,1),"",ABS(U212-F212))</x:f>
        <x:v>0</x:v>
      </x:c>
      <x:c r="X212" s="2" t="n">
        <x:f>IF(A212&lt;DATE(2025,12,1),"",T212-F212)</x:f>
        <x:v>-4</x:v>
      </x:c>
      <x:c r="Y212" s="2" t="n">
        <x:f>IF(A212&lt;DATE(2025,12,1),"",U212-F212)</x:f>
        <x:v>0</x:v>
      </x:c>
      <x:c r="Z212" s="2" t="n">
        <x:f>IF(N212&gt;0,1,0)</x:f>
        <x:v>0</x:v>
      </x:c>
    </x:row>
    <x:row r="213" ht="21" customHeight="1">
      <x:c r="A213" s="6" t="n">
        <x:f>'Daily inputs'!A213</x:f>
        <x:v>45997</x:v>
      </x:c>
      <x:c r="B213" s="2" t="str">
        <x:f>'Daily inputs'!B213</x:f>
        <x:v>I02</x:v>
      </x:c>
      <x:c r="C213" s="2" t="n">
        <x:f>'Daily inputs'!C213</x:f>
        <x:v>6</x:v>
      </x:c>
      <x:c r="D213" s="2" t="str">
        <x:f>'Daily inputs'!D213</x:f>
        <x:v>December normal</x:v>
      </x:c>
      <x:c r="E213" s="7" t="n">
        <x:f>'Daily inputs'!E213</x:f>
        <x:v>8</x:v>
      </x:c>
      <x:c r="F213" s="2" t="n">
        <x:f>'Daily inputs'!F213</x:f>
        <x:v>79</x:v>
      </x:c>
      <x:c r="G213" s="2" t="n">
        <x:f>'Daily inputs'!G213</x:f>
        <x:v>10</x:v>
      </x:c>
      <x:c r="H213" s="2" t="n">
        <x:f>'Daily inputs'!H213</x:f>
        <x:v>81</x:v>
      </x:c>
      <x:c r="I213" s="2" t="n">
        <x:f>'Daily inputs'!I213</x:f>
        <x:v>0</x:v>
      </x:c>
      <x:c r="J213" s="2" t="n">
        <x:f>'Daily inputs'!J213</x:f>
        <x:v>0</x:v>
      </x:c>
      <x:c r="K213" s="2" t="n">
        <x:f>'Daily inputs'!K213</x:f>
        <x:v>0</x:v>
      </x:c>
      <x:c r="L213" s="2" t="n">
        <x:f>MIN(F213,G213+H213-I213)</x:f>
        <x:v>79</x:v>
      </x:c>
      <x:c r="M213" s="2" t="n">
        <x:f>G213+H213-L213-I213</x:f>
        <x:v>12</x:v>
      </x:c>
      <x:c r="N213" s="2" t="n">
        <x:f>F213-L213</x:f>
        <x:v>0</x:v>
      </x:c>
      <x:c r="O213" s="2" t="n">
        <x:f>N213-J213</x:f>
        <x:v>0</x:v>
      </x:c>
      <x:c r="P213" s="2" t="n">
        <x:f>L213+I213</x:f>
        <x:v>79</x:v>
      </x:c>
      <x:c r="Q213" s="8" t="n">
        <x:f>P213*E213</x:f>
        <x:v>632</x:v>
      </x:c>
      <x:c r="R213" s="8" t="n">
        <x:f>I213*E213</x:f>
        <x:v>0</x:v>
      </x:c>
      <x:c r="S213" s="8" t="n">
        <x:f>O213*E213</x:f>
        <x:v>0</x:v>
      </x:c>
      <x:c r="T213" s="2" t="n">
        <x:f>IF(A213&lt;DATE(2025,12,1),"",IF(D213="Closed",0,ROUND(AVERAGEIFS('Daily inputs'!$F$2:$F$367,'Daily inputs'!$B$2:$B$367,B213,'Daily inputs'!$C$2:$C$367,C213,'Daily inputs'!$D$2:$D$367,"Training"),0)))</x:f>
        <x:v>76</x:v>
      </x:c>
      <x:c r="U213" s="2" t="n">
        <x:f>IF(A213&lt;DATE(2025,12,1),"",ROUND(T213*IF(D213="Christmas",Notes!$B$9,Notes!$B$8),0))</x:f>
        <x:v>79</x:v>
      </x:c>
      <x:c r="V213" s="2" t="n">
        <x:f>IF(A213&lt;DATE(2025,12,1),"",ABS(T213-F213))</x:f>
        <x:v>3</x:v>
      </x:c>
      <x:c r="W213" s="2" t="n">
        <x:f>IF(A213&lt;DATE(2025,12,1),"",ABS(U213-F213))</x:f>
        <x:v>0</x:v>
      </x:c>
      <x:c r="X213" s="2" t="n">
        <x:f>IF(A213&lt;DATE(2025,12,1),"",T213-F213)</x:f>
        <x:v>-3</x:v>
      </x:c>
      <x:c r="Y213" s="2" t="n">
        <x:f>IF(A213&lt;DATE(2025,12,1),"",U213-F213)</x:f>
        <x:v>0</x:v>
      </x:c>
      <x:c r="Z213" s="2" t="n">
        <x:f>IF(N213&gt;0,1,0)</x:f>
        <x:v>0</x:v>
      </x:c>
    </x:row>
    <x:row r="214" ht="21" customHeight="1">
      <x:c r="A214" s="6" t="n">
        <x:f>'Daily inputs'!A214</x:f>
        <x:v>45997</x:v>
      </x:c>
      <x:c r="B214" s="2" t="str">
        <x:f>'Daily inputs'!B214</x:f>
        <x:v>I03</x:v>
      </x:c>
      <x:c r="C214" s="2" t="n">
        <x:f>'Daily inputs'!C214</x:f>
        <x:v>6</x:v>
      </x:c>
      <x:c r="D214" s="2" t="str">
        <x:f>'Daily inputs'!D214</x:f>
        <x:v>December normal</x:v>
      </x:c>
      <x:c r="E214" s="7" t="n">
        <x:f>'Daily inputs'!E214</x:f>
        <x:v>7.5</x:v>
      </x:c>
      <x:c r="F214" s="2" t="n">
        <x:f>'Daily inputs'!F214</x:f>
        <x:v>46</x:v>
      </x:c>
      <x:c r="G214" s="2" t="n">
        <x:f>'Daily inputs'!G214</x:f>
        <x:v>6</x:v>
      </x:c>
      <x:c r="H214" s="2" t="n">
        <x:f>'Daily inputs'!H214</x:f>
        <x:v>47</x:v>
      </x:c>
      <x:c r="I214" s="2" t="n">
        <x:f>'Daily inputs'!I214</x:f>
        <x:v>0</x:v>
      </x:c>
      <x:c r="J214" s="2" t="n">
        <x:f>'Daily inputs'!J214</x:f>
        <x:v>0</x:v>
      </x:c>
      <x:c r="K214" s="2" t="n">
        <x:f>'Daily inputs'!K214</x:f>
        <x:v>0</x:v>
      </x:c>
      <x:c r="L214" s="2" t="n">
        <x:f>MIN(F214,G214+H214-I214)</x:f>
        <x:v>46</x:v>
      </x:c>
      <x:c r="M214" s="2" t="n">
        <x:f>G214+H214-L214-I214</x:f>
        <x:v>7</x:v>
      </x:c>
      <x:c r="N214" s="2" t="n">
        <x:f>F214-L214</x:f>
        <x:v>0</x:v>
      </x:c>
      <x:c r="O214" s="2" t="n">
        <x:f>N214-J214</x:f>
        <x:v>0</x:v>
      </x:c>
      <x:c r="P214" s="2" t="n">
        <x:f>L214+I214</x:f>
        <x:v>46</x:v>
      </x:c>
      <x:c r="Q214" s="8" t="n">
        <x:f>P214*E214</x:f>
        <x:v>345</x:v>
      </x:c>
      <x:c r="R214" s="8" t="n">
        <x:f>I214*E214</x:f>
        <x:v>0</x:v>
      </x:c>
      <x:c r="S214" s="8" t="n">
        <x:f>O214*E214</x:f>
        <x:v>0</x:v>
      </x:c>
      <x:c r="T214" s="2" t="n">
        <x:f>IF(A214&lt;DATE(2025,12,1),"",IF(D214="Closed",0,ROUND(AVERAGEIFS('Daily inputs'!$F$2:$F$367,'Daily inputs'!$B$2:$B$367,B214,'Daily inputs'!$C$2:$C$367,C214,'Daily inputs'!$D$2:$D$367,"Training"),0)))</x:f>
        <x:v>43</x:v>
      </x:c>
      <x:c r="U214" s="2" t="n">
        <x:f>IF(A214&lt;DATE(2025,12,1),"",ROUND(T214*IF(D214="Christmas",Notes!$B$9,Notes!$B$8),0))</x:f>
        <x:v>45</x:v>
      </x:c>
      <x:c r="V214" s="2" t="n">
        <x:f>IF(A214&lt;DATE(2025,12,1),"",ABS(T214-F214))</x:f>
        <x:v>3</x:v>
      </x:c>
      <x:c r="W214" s="2" t="n">
        <x:f>IF(A214&lt;DATE(2025,12,1),"",ABS(U214-F214))</x:f>
        <x:v>1</x:v>
      </x:c>
      <x:c r="X214" s="2" t="n">
        <x:f>IF(A214&lt;DATE(2025,12,1),"",T214-F214)</x:f>
        <x:v>-3</x:v>
      </x:c>
      <x:c r="Y214" s="2" t="n">
        <x:f>IF(A214&lt;DATE(2025,12,1),"",U214-F214)</x:f>
        <x:v>-1</x:v>
      </x:c>
      <x:c r="Z214" s="2" t="n">
        <x:f>IF(N214&gt;0,1,0)</x:f>
        <x:v>0</x:v>
      </x:c>
    </x:row>
    <x:row r="215" ht="21" customHeight="1">
      <x:c r="A215" s="6" t="n">
        <x:f>'Daily inputs'!A215</x:f>
        <x:v>45997</x:v>
      </x:c>
      <x:c r="B215" s="2" t="str">
        <x:f>'Daily inputs'!B215</x:f>
        <x:v>I04</x:v>
      </x:c>
      <x:c r="C215" s="2" t="n">
        <x:f>'Daily inputs'!C215</x:f>
        <x:v>6</x:v>
      </x:c>
      <x:c r="D215" s="2" t="str">
        <x:f>'Daily inputs'!D215</x:f>
        <x:v>December normal</x:v>
      </x:c>
      <x:c r="E215" s="7" t="n">
        <x:f>'Daily inputs'!E215</x:f>
        <x:v>9</x:v>
      </x:c>
      <x:c r="F215" s="2" t="n">
        <x:f>'Daily inputs'!F215</x:f>
        <x:v>57</x:v>
      </x:c>
      <x:c r="G215" s="2" t="n">
        <x:f>'Daily inputs'!G215</x:f>
        <x:v>8</x:v>
      </x:c>
      <x:c r="H215" s="2" t="n">
        <x:f>'Daily inputs'!H215</x:f>
        <x:v>58</x:v>
      </x:c>
      <x:c r="I215" s="2" t="n">
        <x:f>'Daily inputs'!I215</x:f>
        <x:v>0</x:v>
      </x:c>
      <x:c r="J215" s="2" t="n">
        <x:f>'Daily inputs'!J215</x:f>
        <x:v>0</x:v>
      </x:c>
      <x:c r="K215" s="2" t="n">
        <x:f>'Daily inputs'!K215</x:f>
        <x:v>0</x:v>
      </x:c>
      <x:c r="L215" s="2" t="n">
        <x:f>MIN(F215,G215+H215-I215)</x:f>
        <x:v>57</x:v>
      </x:c>
      <x:c r="M215" s="2" t="n">
        <x:f>G215+H215-L215-I215</x:f>
        <x:v>9</x:v>
      </x:c>
      <x:c r="N215" s="2" t="n">
        <x:f>F215-L215</x:f>
        <x:v>0</x:v>
      </x:c>
      <x:c r="O215" s="2" t="n">
        <x:f>N215-J215</x:f>
        <x:v>0</x:v>
      </x:c>
      <x:c r="P215" s="2" t="n">
        <x:f>L215+I215</x:f>
        <x:v>57</x:v>
      </x:c>
      <x:c r="Q215" s="8" t="n">
        <x:f>P215*E215</x:f>
        <x:v>513</x:v>
      </x:c>
      <x:c r="R215" s="8" t="n">
        <x:f>I215*E215</x:f>
        <x:v>0</x:v>
      </x:c>
      <x:c r="S215" s="8" t="n">
        <x:f>O215*E215</x:f>
        <x:v>0</x:v>
      </x:c>
      <x:c r="T215" s="2" t="n">
        <x:f>IF(A215&lt;DATE(2025,12,1),"",IF(D215="Closed",0,ROUND(AVERAGEIFS('Daily inputs'!$F$2:$F$367,'Daily inputs'!$B$2:$B$367,B215,'Daily inputs'!$C$2:$C$367,C215,'Daily inputs'!$D$2:$D$367,"Training"),0)))</x:f>
        <x:v>52</x:v>
      </x:c>
      <x:c r="U215" s="2" t="n">
        <x:f>IF(A215&lt;DATE(2025,12,1),"",ROUND(T215*IF(D215="Christmas",Notes!$B$9,Notes!$B$8),0))</x:f>
        <x:v>54</x:v>
      </x:c>
      <x:c r="V215" s="2" t="n">
        <x:f>IF(A215&lt;DATE(2025,12,1),"",ABS(T215-F215))</x:f>
        <x:v>5</x:v>
      </x:c>
      <x:c r="W215" s="2" t="n">
        <x:f>IF(A215&lt;DATE(2025,12,1),"",ABS(U215-F215))</x:f>
        <x:v>3</x:v>
      </x:c>
      <x:c r="X215" s="2" t="n">
        <x:f>IF(A215&lt;DATE(2025,12,1),"",T215-F215)</x:f>
        <x:v>-5</x:v>
      </x:c>
      <x:c r="Y215" s="2" t="n">
        <x:f>IF(A215&lt;DATE(2025,12,1),"",U215-F215)</x:f>
        <x:v>-3</x:v>
      </x:c>
      <x:c r="Z215" s="2" t="n">
        <x:f>IF(N215&gt;0,1,0)</x:f>
        <x:v>0</x:v>
      </x:c>
    </x:row>
    <x:row r="216" ht="21" customHeight="1">
      <x:c r="A216" s="6" t="n">
        <x:f>'Daily inputs'!A216</x:f>
        <x:v>45997</x:v>
      </x:c>
      <x:c r="B216" s="2" t="str">
        <x:f>'Daily inputs'!B216</x:f>
        <x:v>I05</x:v>
      </x:c>
      <x:c r="C216" s="2" t="n">
        <x:f>'Daily inputs'!C216</x:f>
        <x:v>6</x:v>
      </x:c>
      <x:c r="D216" s="2" t="str">
        <x:f>'Daily inputs'!D216</x:f>
        <x:v>December normal</x:v>
      </x:c>
      <x:c r="E216" s="7" t="n">
        <x:f>'Daily inputs'!E216</x:f>
        <x:v>3.5</x:v>
      </x:c>
      <x:c r="F216" s="2" t="n">
        <x:f>'Daily inputs'!F216</x:f>
        <x:v>110</x:v>
      </x:c>
      <x:c r="G216" s="2" t="n">
        <x:f>'Daily inputs'!G216</x:f>
        <x:v>16</x:v>
      </x:c>
      <x:c r="H216" s="2" t="n">
        <x:f>'Daily inputs'!H216</x:f>
        <x:v>110</x:v>
      </x:c>
      <x:c r="I216" s="2" t="n">
        <x:f>'Daily inputs'!I216</x:f>
        <x:v>0</x:v>
      </x:c>
      <x:c r="J216" s="2" t="n">
        <x:f>'Daily inputs'!J216</x:f>
        <x:v>0</x:v>
      </x:c>
      <x:c r="K216" s="2" t="n">
        <x:f>'Daily inputs'!K216</x:f>
        <x:v>0</x:v>
      </x:c>
      <x:c r="L216" s="2" t="n">
        <x:f>MIN(F216,G216+H216-I216)</x:f>
        <x:v>110</x:v>
      </x:c>
      <x:c r="M216" s="2" t="n">
        <x:f>G216+H216-L216-I216</x:f>
        <x:v>16</x:v>
      </x:c>
      <x:c r="N216" s="2" t="n">
        <x:f>F216-L216</x:f>
        <x:v>0</x:v>
      </x:c>
      <x:c r="O216" s="2" t="n">
        <x:f>N216-J216</x:f>
        <x:v>0</x:v>
      </x:c>
      <x:c r="P216" s="2" t="n">
        <x:f>L216+I216</x:f>
        <x:v>110</x:v>
      </x:c>
      <x:c r="Q216" s="8" t="n">
        <x:f>P216*E216</x:f>
        <x:v>385</x:v>
      </x:c>
      <x:c r="R216" s="8" t="n">
        <x:f>I216*E216</x:f>
        <x:v>0</x:v>
      </x:c>
      <x:c r="S216" s="8" t="n">
        <x:f>O216*E216</x:f>
        <x:v>0</x:v>
      </x:c>
      <x:c r="T216" s="2" t="n">
        <x:f>IF(A216&lt;DATE(2025,12,1),"",IF(D216="Closed",0,ROUND(AVERAGEIFS('Daily inputs'!$F$2:$F$367,'Daily inputs'!$B$2:$B$367,B216,'Daily inputs'!$C$2:$C$367,C216,'Daily inputs'!$D$2:$D$367,"Training"),0)))</x:f>
        <x:v>106</x:v>
      </x:c>
      <x:c r="U216" s="2" t="n">
        <x:f>IF(A216&lt;DATE(2025,12,1),"",ROUND(T216*IF(D216="Christmas",Notes!$B$9,Notes!$B$8),0))</x:f>
        <x:v>110</x:v>
      </x:c>
      <x:c r="V216" s="2" t="n">
        <x:f>IF(A216&lt;DATE(2025,12,1),"",ABS(T216-F216))</x:f>
        <x:v>4</x:v>
      </x:c>
      <x:c r="W216" s="2" t="n">
        <x:f>IF(A216&lt;DATE(2025,12,1),"",ABS(U216-F216))</x:f>
        <x:v>0</x:v>
      </x:c>
      <x:c r="X216" s="2" t="n">
        <x:f>IF(A216&lt;DATE(2025,12,1),"",T216-F216)</x:f>
        <x:v>-4</x:v>
      </x:c>
      <x:c r="Y216" s="2" t="n">
        <x:f>IF(A216&lt;DATE(2025,12,1),"",U216-F216)</x:f>
        <x:v>0</x:v>
      </x:c>
      <x:c r="Z216" s="2" t="n">
        <x:f>IF(N216&gt;0,1,0)</x:f>
        <x:v>0</x:v>
      </x:c>
    </x:row>
    <x:row r="217" ht="21" customHeight="1">
      <x:c r="A217" s="6" t="n">
        <x:f>'Daily inputs'!A217</x:f>
        <x:v>45997</x:v>
      </x:c>
      <x:c r="B217" s="2" t="str">
        <x:f>'Daily inputs'!B217</x:f>
        <x:v>I06</x:v>
      </x:c>
      <x:c r="C217" s="2" t="n">
        <x:f>'Daily inputs'!C217</x:f>
        <x:v>6</x:v>
      </x:c>
      <x:c r="D217" s="2" t="str">
        <x:f>'Daily inputs'!D217</x:f>
        <x:v>December normal</x:v>
      </x:c>
      <x:c r="E217" s="7" t="n">
        <x:f>'Daily inputs'!E217</x:f>
        <x:v>3</x:v>
      </x:c>
      <x:c r="F217" s="2" t="n">
        <x:f>'Daily inputs'!F217</x:f>
        <x:v>41</x:v>
      </x:c>
      <x:c r="G217" s="2" t="n">
        <x:f>'Daily inputs'!G217</x:f>
        <x:v>6</x:v>
      </x:c>
      <x:c r="H217" s="2" t="n">
        <x:f>'Daily inputs'!H217</x:f>
        <x:v>41</x:v>
      </x:c>
      <x:c r="I217" s="2" t="n">
        <x:f>'Daily inputs'!I217</x:f>
        <x:v>0</x:v>
      </x:c>
      <x:c r="J217" s="2" t="n">
        <x:f>'Daily inputs'!J217</x:f>
        <x:v>0</x:v>
      </x:c>
      <x:c r="K217" s="2" t="n">
        <x:f>'Daily inputs'!K217</x:f>
        <x:v>0</x:v>
      </x:c>
      <x:c r="L217" s="2" t="n">
        <x:f>MIN(F217,G217+H217-I217)</x:f>
        <x:v>41</x:v>
      </x:c>
      <x:c r="M217" s="2" t="n">
        <x:f>G217+H217-L217-I217</x:f>
        <x:v>6</x:v>
      </x:c>
      <x:c r="N217" s="2" t="n">
        <x:f>F217-L217</x:f>
        <x:v>0</x:v>
      </x:c>
      <x:c r="O217" s="2" t="n">
        <x:f>N217-J217</x:f>
        <x:v>0</x:v>
      </x:c>
      <x:c r="P217" s="2" t="n">
        <x:f>L217+I217</x:f>
        <x:v>41</x:v>
      </x:c>
      <x:c r="Q217" s="8" t="n">
        <x:f>P217*E217</x:f>
        <x:v>123</x:v>
      </x:c>
      <x:c r="R217" s="8" t="n">
        <x:f>I217*E217</x:f>
        <x:v>0</x:v>
      </x:c>
      <x:c r="S217" s="8" t="n">
        <x:f>O217*E217</x:f>
        <x:v>0</x:v>
      </x:c>
      <x:c r="T217" s="2" t="n">
        <x:f>IF(A217&lt;DATE(2025,12,1),"",IF(D217="Closed",0,ROUND(AVERAGEIFS('Daily inputs'!$F$2:$F$367,'Daily inputs'!$B$2:$B$367,B217,'Daily inputs'!$C$2:$C$367,C217,'Daily inputs'!$D$2:$D$367,"Training"),0)))</x:f>
        <x:v>39</x:v>
      </x:c>
      <x:c r="U217" s="2" t="n">
        <x:f>IF(A217&lt;DATE(2025,12,1),"",ROUND(T217*IF(D217="Christmas",Notes!$B$9,Notes!$B$8),0))</x:f>
        <x:v>41</x:v>
      </x:c>
      <x:c r="V217" s="2" t="n">
        <x:f>IF(A217&lt;DATE(2025,12,1),"",ABS(T217-F217))</x:f>
        <x:v>2</x:v>
      </x:c>
      <x:c r="W217" s="2" t="n">
        <x:f>IF(A217&lt;DATE(2025,12,1),"",ABS(U217-F217))</x:f>
        <x:v>0</x:v>
      </x:c>
      <x:c r="X217" s="2" t="n">
        <x:f>IF(A217&lt;DATE(2025,12,1),"",T217-F217)</x:f>
        <x:v>-2</x:v>
      </x:c>
      <x:c r="Y217" s="2" t="n">
        <x:f>IF(A217&lt;DATE(2025,12,1),"",U217-F217)</x:f>
        <x:v>0</x:v>
      </x:c>
      <x:c r="Z217" s="2" t="n">
        <x:f>IF(N217&gt;0,1,0)</x:f>
        <x:v>0</x:v>
      </x:c>
    </x:row>
    <x:row r="218" ht="21" customHeight="1">
      <x:c r="A218" s="6" t="n">
        <x:f>'Daily inputs'!A218</x:f>
        <x:v>45998</x:v>
      </x:c>
      <x:c r="B218" s="2" t="str">
        <x:f>'Daily inputs'!B218</x:f>
        <x:v>I01</x:v>
      </x:c>
      <x:c r="C218" s="2" t="n">
        <x:f>'Daily inputs'!C218</x:f>
        <x:v>7</x:v>
      </x:c>
      <x:c r="D218" s="2" t="str">
        <x:f>'Daily inputs'!D218</x:f>
        <x:v>December normal</x:v>
      </x:c>
      <x:c r="E218" s="7" t="n">
        <x:f>'Daily inputs'!E218</x:f>
        <x:v>8.5</x:v>
      </x:c>
      <x:c r="F218" s="2" t="n">
        <x:f>'Daily inputs'!F218</x:f>
        <x:v>85</x:v>
      </x:c>
      <x:c r="G218" s="2" t="n">
        <x:f>'Daily inputs'!G218</x:f>
        <x:v>15</x:v>
      </x:c>
      <x:c r="H218" s="2" t="n">
        <x:f>'Daily inputs'!H218</x:f>
        <x:v>83</x:v>
      </x:c>
      <x:c r="I218" s="2" t="n">
        <x:f>'Daily inputs'!I218</x:f>
        <x:v>0</x:v>
      </x:c>
      <x:c r="J218" s="2" t="n">
        <x:f>'Daily inputs'!J218</x:f>
        <x:v>0</x:v>
      </x:c>
      <x:c r="K218" s="2" t="n">
        <x:f>'Daily inputs'!K218</x:f>
        <x:v>0</x:v>
      </x:c>
      <x:c r="L218" s="2" t="n">
        <x:f>MIN(F218,G218+H218-I218)</x:f>
        <x:v>85</x:v>
      </x:c>
      <x:c r="M218" s="2" t="n">
        <x:f>G218+H218-L218-I218</x:f>
        <x:v>13</x:v>
      </x:c>
      <x:c r="N218" s="2" t="n">
        <x:f>F218-L218</x:f>
        <x:v>0</x:v>
      </x:c>
      <x:c r="O218" s="2" t="n">
        <x:f>N218-J218</x:f>
        <x:v>0</x:v>
      </x:c>
      <x:c r="P218" s="2" t="n">
        <x:f>L218+I218</x:f>
        <x:v>85</x:v>
      </x:c>
      <x:c r="Q218" s="8" t="n">
        <x:f>P218*E218</x:f>
        <x:v>722.5</x:v>
      </x:c>
      <x:c r="R218" s="8" t="n">
        <x:f>I218*E218</x:f>
        <x:v>0</x:v>
      </x:c>
      <x:c r="S218" s="8" t="n">
        <x:f>O218*E218</x:f>
        <x:v>0</x:v>
      </x:c>
      <x:c r="T218" s="2" t="n">
        <x:f>IF(A218&lt;DATE(2025,12,1),"",IF(D218="Closed",0,ROUND(AVERAGEIFS('Daily inputs'!$F$2:$F$367,'Daily inputs'!$B$2:$B$367,B218,'Daily inputs'!$C$2:$C$367,C218,'Daily inputs'!$D$2:$D$367,"Training"),0)))</x:f>
        <x:v>80</x:v>
      </x:c>
      <x:c r="U218" s="2" t="n">
        <x:f>IF(A218&lt;DATE(2025,12,1),"",ROUND(T218*IF(D218="Christmas",Notes!$B$9,Notes!$B$8),0))</x:f>
        <x:v>83</x:v>
      </x:c>
      <x:c r="V218" s="2" t="n">
        <x:f>IF(A218&lt;DATE(2025,12,1),"",ABS(T218-F218))</x:f>
        <x:v>5</x:v>
      </x:c>
      <x:c r="W218" s="2" t="n">
        <x:f>IF(A218&lt;DATE(2025,12,1),"",ABS(U218-F218))</x:f>
        <x:v>2</x:v>
      </x:c>
      <x:c r="X218" s="2" t="n">
        <x:f>IF(A218&lt;DATE(2025,12,1),"",T218-F218)</x:f>
        <x:v>-5</x:v>
      </x:c>
      <x:c r="Y218" s="2" t="n">
        <x:f>IF(A218&lt;DATE(2025,12,1),"",U218-F218)</x:f>
        <x:v>-2</x:v>
      </x:c>
      <x:c r="Z218" s="2" t="n">
        <x:f>IF(N218&gt;0,1,0)</x:f>
        <x:v>0</x:v>
      </x:c>
    </x:row>
    <x:row r="219" ht="21" customHeight="1">
      <x:c r="A219" s="6" t="n">
        <x:f>'Daily inputs'!A219</x:f>
        <x:v>45998</x:v>
      </x:c>
      <x:c r="B219" s="2" t="str">
        <x:f>'Daily inputs'!B219</x:f>
        <x:v>I02</x:v>
      </x:c>
      <x:c r="C219" s="2" t="n">
        <x:f>'Daily inputs'!C219</x:f>
        <x:v>7</x:v>
      </x:c>
      <x:c r="D219" s="2" t="str">
        <x:f>'Daily inputs'!D219</x:f>
        <x:v>December normal</x:v>
      </x:c>
      <x:c r="E219" s="7" t="n">
        <x:f>'Daily inputs'!E219</x:f>
        <x:v>8</x:v>
      </x:c>
      <x:c r="F219" s="2" t="n">
        <x:f>'Daily inputs'!F219</x:f>
        <x:v>62</x:v>
      </x:c>
      <x:c r="G219" s="2" t="n">
        <x:f>'Daily inputs'!G219</x:f>
        <x:v>12</x:v>
      </x:c>
      <x:c r="H219" s="2" t="n">
        <x:f>'Daily inputs'!H219</x:f>
        <x:v>59</x:v>
      </x:c>
      <x:c r="I219" s="2" t="n">
        <x:f>'Daily inputs'!I219</x:f>
        <x:v>0</x:v>
      </x:c>
      <x:c r="J219" s="2" t="n">
        <x:f>'Daily inputs'!J219</x:f>
        <x:v>0</x:v>
      </x:c>
      <x:c r="K219" s="2" t="n">
        <x:f>'Daily inputs'!K219</x:f>
        <x:v>0</x:v>
      </x:c>
      <x:c r="L219" s="2" t="n">
        <x:f>MIN(F219,G219+H219-I219)</x:f>
        <x:v>62</x:v>
      </x:c>
      <x:c r="M219" s="2" t="n">
        <x:f>G219+H219-L219-I219</x:f>
        <x:v>9</x:v>
      </x:c>
      <x:c r="N219" s="2" t="n">
        <x:f>F219-L219</x:f>
        <x:v>0</x:v>
      </x:c>
      <x:c r="O219" s="2" t="n">
        <x:f>N219-J219</x:f>
        <x:v>0</x:v>
      </x:c>
      <x:c r="P219" s="2" t="n">
        <x:f>L219+I219</x:f>
        <x:v>62</x:v>
      </x:c>
      <x:c r="Q219" s="8" t="n">
        <x:f>P219*E219</x:f>
        <x:v>496</x:v>
      </x:c>
      <x:c r="R219" s="8" t="n">
        <x:f>I219*E219</x:f>
        <x:v>0</x:v>
      </x:c>
      <x:c r="S219" s="8" t="n">
        <x:f>O219*E219</x:f>
        <x:v>0</x:v>
      </x:c>
      <x:c r="T219" s="2" t="n">
        <x:f>IF(A219&lt;DATE(2025,12,1),"",IF(D219="Closed",0,ROUND(AVERAGEIFS('Daily inputs'!$F$2:$F$367,'Daily inputs'!$B$2:$B$367,B219,'Daily inputs'!$C$2:$C$367,C219,'Daily inputs'!$D$2:$D$367,"Training"),0)))</x:f>
        <x:v>64</x:v>
      </x:c>
      <x:c r="U219" s="2" t="n">
        <x:f>IF(A219&lt;DATE(2025,12,1),"",ROUND(T219*IF(D219="Christmas",Notes!$B$9,Notes!$B$8),0))</x:f>
        <x:v>67</x:v>
      </x:c>
      <x:c r="V219" s="2" t="n">
        <x:f>IF(A219&lt;DATE(2025,12,1),"",ABS(T219-F219))</x:f>
        <x:v>2</x:v>
      </x:c>
      <x:c r="W219" s="2" t="n">
        <x:f>IF(A219&lt;DATE(2025,12,1),"",ABS(U219-F219))</x:f>
        <x:v>5</x:v>
      </x:c>
      <x:c r="X219" s="2" t="n">
        <x:f>IF(A219&lt;DATE(2025,12,1),"",T219-F219)</x:f>
        <x:v>2</x:v>
      </x:c>
      <x:c r="Y219" s="2" t="n">
        <x:f>IF(A219&lt;DATE(2025,12,1),"",U219-F219)</x:f>
        <x:v>5</x:v>
      </x:c>
      <x:c r="Z219" s="2" t="n">
        <x:f>IF(N219&gt;0,1,0)</x:f>
        <x:v>0</x:v>
      </x:c>
    </x:row>
    <x:row r="220" ht="21" customHeight="1">
      <x:c r="A220" s="6" t="n">
        <x:f>'Daily inputs'!A220</x:f>
        <x:v>45998</x:v>
      </x:c>
      <x:c r="B220" s="2" t="str">
        <x:f>'Daily inputs'!B220</x:f>
        <x:v>I03</x:v>
      </x:c>
      <x:c r="C220" s="2" t="n">
        <x:f>'Daily inputs'!C220</x:f>
        <x:v>7</x:v>
      </x:c>
      <x:c r="D220" s="2" t="str">
        <x:f>'Daily inputs'!D220</x:f>
        <x:v>December normal</x:v>
      </x:c>
      <x:c r="E220" s="7" t="n">
        <x:f>'Daily inputs'!E220</x:f>
        <x:v>7.5</x:v>
      </x:c>
      <x:c r="F220" s="2" t="n">
        <x:f>'Daily inputs'!F220</x:f>
        <x:v>38</x:v>
      </x:c>
      <x:c r="G220" s="2" t="n">
        <x:f>'Daily inputs'!G220</x:f>
        <x:v>7</x:v>
      </x:c>
      <x:c r="H220" s="2" t="n">
        <x:f>'Daily inputs'!H220</x:f>
        <x:v>37</x:v>
      </x:c>
      <x:c r="I220" s="2" t="n">
        <x:f>'Daily inputs'!I220</x:f>
        <x:v>0</x:v>
      </x:c>
      <x:c r="J220" s="2" t="n">
        <x:f>'Daily inputs'!J220</x:f>
        <x:v>0</x:v>
      </x:c>
      <x:c r="K220" s="2" t="n">
        <x:f>'Daily inputs'!K220</x:f>
        <x:v>0</x:v>
      </x:c>
      <x:c r="L220" s="2" t="n">
        <x:f>MIN(F220,G220+H220-I220)</x:f>
        <x:v>38</x:v>
      </x:c>
      <x:c r="M220" s="2" t="n">
        <x:f>G220+H220-L220-I220</x:f>
        <x:v>6</x:v>
      </x:c>
      <x:c r="N220" s="2" t="n">
        <x:f>F220-L220</x:f>
        <x:v>0</x:v>
      </x:c>
      <x:c r="O220" s="2" t="n">
        <x:f>N220-J220</x:f>
        <x:v>0</x:v>
      </x:c>
      <x:c r="P220" s="2" t="n">
        <x:f>L220+I220</x:f>
        <x:v>38</x:v>
      </x:c>
      <x:c r="Q220" s="8" t="n">
        <x:f>P220*E220</x:f>
        <x:v>285</x:v>
      </x:c>
      <x:c r="R220" s="8" t="n">
        <x:f>I220*E220</x:f>
        <x:v>0</x:v>
      </x:c>
      <x:c r="S220" s="8" t="n">
        <x:f>O220*E220</x:f>
        <x:v>0</x:v>
      </x:c>
      <x:c r="T220" s="2" t="n">
        <x:f>IF(A220&lt;DATE(2025,12,1),"",IF(D220="Closed",0,ROUND(AVERAGEIFS('Daily inputs'!$F$2:$F$367,'Daily inputs'!$B$2:$B$367,B220,'Daily inputs'!$C$2:$C$367,C220,'Daily inputs'!$D$2:$D$367,"Training"),0)))</x:f>
        <x:v>38</x:v>
      </x:c>
      <x:c r="U220" s="2" t="n">
        <x:f>IF(A220&lt;DATE(2025,12,1),"",ROUND(T220*IF(D220="Christmas",Notes!$B$9,Notes!$B$8),0))</x:f>
        <x:v>40</x:v>
      </x:c>
      <x:c r="V220" s="2" t="n">
        <x:f>IF(A220&lt;DATE(2025,12,1),"",ABS(T220-F220))</x:f>
        <x:v>0</x:v>
      </x:c>
      <x:c r="W220" s="2" t="n">
        <x:f>IF(A220&lt;DATE(2025,12,1),"",ABS(U220-F220))</x:f>
        <x:v>2</x:v>
      </x:c>
      <x:c r="X220" s="2" t="n">
        <x:f>IF(A220&lt;DATE(2025,12,1),"",T220-F220)</x:f>
        <x:v>0</x:v>
      </x:c>
      <x:c r="Y220" s="2" t="n">
        <x:f>IF(A220&lt;DATE(2025,12,1),"",U220-F220)</x:f>
        <x:v>2</x:v>
      </x:c>
      <x:c r="Z220" s="2" t="n">
        <x:f>IF(N220&gt;0,1,0)</x:f>
        <x:v>0</x:v>
      </x:c>
    </x:row>
    <x:row r="221" ht="21" customHeight="1">
      <x:c r="A221" s="6" t="n">
        <x:f>'Daily inputs'!A221</x:f>
        <x:v>45998</x:v>
      </x:c>
      <x:c r="B221" s="2" t="str">
        <x:f>'Daily inputs'!B221</x:f>
        <x:v>I04</x:v>
      </x:c>
      <x:c r="C221" s="2" t="n">
        <x:f>'Daily inputs'!C221</x:f>
        <x:v>7</x:v>
      </x:c>
      <x:c r="D221" s="2" t="str">
        <x:f>'Daily inputs'!D221</x:f>
        <x:v>December normal</x:v>
      </x:c>
      <x:c r="E221" s="7" t="n">
        <x:f>'Daily inputs'!E221</x:f>
        <x:v>9</x:v>
      </x:c>
      <x:c r="F221" s="2" t="n">
        <x:f>'Daily inputs'!F221</x:f>
        <x:v>46</x:v>
      </x:c>
      <x:c r="G221" s="2" t="n">
        <x:f>'Daily inputs'!G221</x:f>
        <x:v>9</x:v>
      </x:c>
      <x:c r="H221" s="2" t="n">
        <x:f>'Daily inputs'!H221</x:f>
        <x:v>44</x:v>
      </x:c>
      <x:c r="I221" s="2" t="n">
        <x:f>'Daily inputs'!I221</x:f>
        <x:v>0</x:v>
      </x:c>
      <x:c r="J221" s="2" t="n">
        <x:f>'Daily inputs'!J221</x:f>
        <x:v>0</x:v>
      </x:c>
      <x:c r="K221" s="2" t="n">
        <x:f>'Daily inputs'!K221</x:f>
        <x:v>0</x:v>
      </x:c>
      <x:c r="L221" s="2" t="n">
        <x:f>MIN(F221,G221+H221-I221)</x:f>
        <x:v>46</x:v>
      </x:c>
      <x:c r="M221" s="2" t="n">
        <x:f>G221+H221-L221-I221</x:f>
        <x:v>7</x:v>
      </x:c>
      <x:c r="N221" s="2" t="n">
        <x:f>F221-L221</x:f>
        <x:v>0</x:v>
      </x:c>
      <x:c r="O221" s="2" t="n">
        <x:f>N221-J221</x:f>
        <x:v>0</x:v>
      </x:c>
      <x:c r="P221" s="2" t="n">
        <x:f>L221+I221</x:f>
        <x:v>46</x:v>
      </x:c>
      <x:c r="Q221" s="8" t="n">
        <x:f>P221*E221</x:f>
        <x:v>414</x:v>
      </x:c>
      <x:c r="R221" s="8" t="n">
        <x:f>I221*E221</x:f>
        <x:v>0</x:v>
      </x:c>
      <x:c r="S221" s="8" t="n">
        <x:f>O221*E221</x:f>
        <x:v>0</x:v>
      </x:c>
      <x:c r="T221" s="2" t="n">
        <x:f>IF(A221&lt;DATE(2025,12,1),"",IF(D221="Closed",0,ROUND(AVERAGEIFS('Daily inputs'!$F$2:$F$367,'Daily inputs'!$B$2:$B$367,B221,'Daily inputs'!$C$2:$C$367,C221,'Daily inputs'!$D$2:$D$367,"Training"),0)))</x:f>
        <x:v>44</x:v>
      </x:c>
      <x:c r="U221" s="2" t="n">
        <x:f>IF(A221&lt;DATE(2025,12,1),"",ROUND(T221*IF(D221="Christmas",Notes!$B$9,Notes!$B$8),0))</x:f>
        <x:v>46</x:v>
      </x:c>
      <x:c r="V221" s="2" t="n">
        <x:f>IF(A221&lt;DATE(2025,12,1),"",ABS(T221-F221))</x:f>
        <x:v>2</x:v>
      </x:c>
      <x:c r="W221" s="2" t="n">
        <x:f>IF(A221&lt;DATE(2025,12,1),"",ABS(U221-F221))</x:f>
        <x:v>0</x:v>
      </x:c>
      <x:c r="X221" s="2" t="n">
        <x:f>IF(A221&lt;DATE(2025,12,1),"",T221-F221)</x:f>
        <x:v>-2</x:v>
      </x:c>
      <x:c r="Y221" s="2" t="n">
        <x:f>IF(A221&lt;DATE(2025,12,1),"",U221-F221)</x:f>
        <x:v>0</x:v>
      </x:c>
      <x:c r="Z221" s="2" t="n">
        <x:f>IF(N221&gt;0,1,0)</x:f>
        <x:v>0</x:v>
      </x:c>
    </x:row>
    <x:row r="222" ht="21" customHeight="1">
      <x:c r="A222" s="6" t="n">
        <x:f>'Daily inputs'!A222</x:f>
        <x:v>45998</x:v>
      </x:c>
      <x:c r="B222" s="2" t="str">
        <x:f>'Daily inputs'!B222</x:f>
        <x:v>I05</x:v>
      </x:c>
      <x:c r="C222" s="2" t="n">
        <x:f>'Daily inputs'!C222</x:f>
        <x:v>7</x:v>
      </x:c>
      <x:c r="D222" s="2" t="str">
        <x:f>'Daily inputs'!D222</x:f>
        <x:v>December normal</x:v>
      </x:c>
      <x:c r="E222" s="7" t="n">
        <x:f>'Daily inputs'!E222</x:f>
        <x:v>3.5</x:v>
      </x:c>
      <x:c r="F222" s="2" t="n">
        <x:f>'Daily inputs'!F222</x:f>
        <x:v>96</x:v>
      </x:c>
      <x:c r="G222" s="2" t="n">
        <x:f>'Daily inputs'!G222</x:f>
        <x:v>16</x:v>
      </x:c>
      <x:c r="H222" s="2" t="n">
        <x:f>'Daily inputs'!H222</x:f>
        <x:v>94</x:v>
      </x:c>
      <x:c r="I222" s="2" t="n">
        <x:f>'Daily inputs'!I222</x:f>
        <x:v>0</x:v>
      </x:c>
      <x:c r="J222" s="2" t="n">
        <x:f>'Daily inputs'!J222</x:f>
        <x:v>0</x:v>
      </x:c>
      <x:c r="K222" s="2" t="n">
        <x:f>'Daily inputs'!K222</x:f>
        <x:v>0</x:v>
      </x:c>
      <x:c r="L222" s="2" t="n">
        <x:f>MIN(F222,G222+H222-I222)</x:f>
        <x:v>96</x:v>
      </x:c>
      <x:c r="M222" s="2" t="n">
        <x:f>G222+H222-L222-I222</x:f>
        <x:v>14</x:v>
      </x:c>
      <x:c r="N222" s="2" t="n">
        <x:f>F222-L222</x:f>
        <x:v>0</x:v>
      </x:c>
      <x:c r="O222" s="2" t="n">
        <x:f>N222-J222</x:f>
        <x:v>0</x:v>
      </x:c>
      <x:c r="P222" s="2" t="n">
        <x:f>L222+I222</x:f>
        <x:v>96</x:v>
      </x:c>
      <x:c r="Q222" s="8" t="n">
        <x:f>P222*E222</x:f>
        <x:v>336</x:v>
      </x:c>
      <x:c r="R222" s="8" t="n">
        <x:f>I222*E222</x:f>
        <x:v>0</x:v>
      </x:c>
      <x:c r="S222" s="8" t="n">
        <x:f>O222*E222</x:f>
        <x:v>0</x:v>
      </x:c>
      <x:c r="T222" s="2" t="n">
        <x:f>IF(A222&lt;DATE(2025,12,1),"",IF(D222="Closed",0,ROUND(AVERAGEIFS('Daily inputs'!$F$2:$F$367,'Daily inputs'!$B$2:$B$367,B222,'Daily inputs'!$C$2:$C$367,C222,'Daily inputs'!$D$2:$D$367,"Training"),0)))</x:f>
        <x:v>89</x:v>
      </x:c>
      <x:c r="U222" s="2" t="n">
        <x:f>IF(A222&lt;DATE(2025,12,1),"",ROUND(T222*IF(D222="Christmas",Notes!$B$9,Notes!$B$8),0))</x:f>
        <x:v>93</x:v>
      </x:c>
      <x:c r="V222" s="2" t="n">
        <x:f>IF(A222&lt;DATE(2025,12,1),"",ABS(T222-F222))</x:f>
        <x:v>7</x:v>
      </x:c>
      <x:c r="W222" s="2" t="n">
        <x:f>IF(A222&lt;DATE(2025,12,1),"",ABS(U222-F222))</x:f>
        <x:v>3</x:v>
      </x:c>
      <x:c r="X222" s="2" t="n">
        <x:f>IF(A222&lt;DATE(2025,12,1),"",T222-F222)</x:f>
        <x:v>-7</x:v>
      </x:c>
      <x:c r="Y222" s="2" t="n">
        <x:f>IF(A222&lt;DATE(2025,12,1),"",U222-F222)</x:f>
        <x:v>-3</x:v>
      </x:c>
      <x:c r="Z222" s="2" t="n">
        <x:f>IF(N222&gt;0,1,0)</x:f>
        <x:v>0</x:v>
      </x:c>
    </x:row>
    <x:row r="223" ht="21" customHeight="1">
      <x:c r="A223" s="6" t="n">
        <x:f>'Daily inputs'!A223</x:f>
        <x:v>45998</x:v>
      </x:c>
      <x:c r="B223" s="2" t="str">
        <x:f>'Daily inputs'!B223</x:f>
        <x:v>I06</x:v>
      </x:c>
      <x:c r="C223" s="2" t="n">
        <x:f>'Daily inputs'!C223</x:f>
        <x:v>7</x:v>
      </x:c>
      <x:c r="D223" s="2" t="str">
        <x:f>'Daily inputs'!D223</x:f>
        <x:v>December normal</x:v>
      </x:c>
      <x:c r="E223" s="7" t="n">
        <x:f>'Daily inputs'!E223</x:f>
        <x:v>3</x:v>
      </x:c>
      <x:c r="F223" s="2" t="n">
        <x:f>'Daily inputs'!F223</x:f>
        <x:v>38</x:v>
      </x:c>
      <x:c r="G223" s="2" t="n">
        <x:f>'Daily inputs'!G223</x:f>
        <x:v>6</x:v>
      </x:c>
      <x:c r="H223" s="2" t="n">
        <x:f>'Daily inputs'!H223</x:f>
        <x:v>38</x:v>
      </x:c>
      <x:c r="I223" s="2" t="n">
        <x:f>'Daily inputs'!I223</x:f>
        <x:v>0</x:v>
      </x:c>
      <x:c r="J223" s="2" t="n">
        <x:f>'Daily inputs'!J223</x:f>
        <x:v>0</x:v>
      </x:c>
      <x:c r="K223" s="2" t="n">
        <x:f>'Daily inputs'!K223</x:f>
        <x:v>0</x:v>
      </x:c>
      <x:c r="L223" s="2" t="n">
        <x:f>MIN(F223,G223+H223-I223)</x:f>
        <x:v>38</x:v>
      </x:c>
      <x:c r="M223" s="2" t="n">
        <x:f>G223+H223-L223-I223</x:f>
        <x:v>6</x:v>
      </x:c>
      <x:c r="N223" s="2" t="n">
        <x:f>F223-L223</x:f>
        <x:v>0</x:v>
      </x:c>
      <x:c r="O223" s="2" t="n">
        <x:f>N223-J223</x:f>
        <x:v>0</x:v>
      </x:c>
      <x:c r="P223" s="2" t="n">
        <x:f>L223+I223</x:f>
        <x:v>38</x:v>
      </x:c>
      <x:c r="Q223" s="8" t="n">
        <x:f>P223*E223</x:f>
        <x:v>114</x:v>
      </x:c>
      <x:c r="R223" s="8" t="n">
        <x:f>I223*E223</x:f>
        <x:v>0</x:v>
      </x:c>
      <x:c r="S223" s="8" t="n">
        <x:f>O223*E223</x:f>
        <x:v>0</x:v>
      </x:c>
      <x:c r="T223" s="2" t="n">
        <x:f>IF(A223&lt;DATE(2025,12,1),"",IF(D223="Closed",0,ROUND(AVERAGEIFS('Daily inputs'!$F$2:$F$367,'Daily inputs'!$B$2:$B$367,B223,'Daily inputs'!$C$2:$C$367,C223,'Daily inputs'!$D$2:$D$367,"Training"),0)))</x:f>
        <x:v>34</x:v>
      </x:c>
      <x:c r="U223" s="2" t="n">
        <x:f>IF(A223&lt;DATE(2025,12,1),"",ROUND(T223*IF(D223="Christmas",Notes!$B$9,Notes!$B$8),0))</x:f>
        <x:v>35</x:v>
      </x:c>
      <x:c r="V223" s="2" t="n">
        <x:f>IF(A223&lt;DATE(2025,12,1),"",ABS(T223-F223))</x:f>
        <x:v>4</x:v>
      </x:c>
      <x:c r="W223" s="2" t="n">
        <x:f>IF(A223&lt;DATE(2025,12,1),"",ABS(U223-F223))</x:f>
        <x:v>3</x:v>
      </x:c>
      <x:c r="X223" s="2" t="n">
        <x:f>IF(A223&lt;DATE(2025,12,1),"",T223-F223)</x:f>
        <x:v>-4</x:v>
      </x:c>
      <x:c r="Y223" s="2" t="n">
        <x:f>IF(A223&lt;DATE(2025,12,1),"",U223-F223)</x:f>
        <x:v>-3</x:v>
      </x:c>
      <x:c r="Z223" s="2" t="n">
        <x:f>IF(N223&gt;0,1,0)</x:f>
        <x:v>0</x:v>
      </x:c>
    </x:row>
    <x:row r="224" ht="21" customHeight="1">
      <x:c r="A224" s="6" t="n">
        <x:f>'Daily inputs'!A224</x:f>
        <x:v>45999</x:v>
      </x:c>
      <x:c r="B224" s="2" t="str">
        <x:f>'Daily inputs'!B224</x:f>
        <x:v>I01</x:v>
      </x:c>
      <x:c r="C224" s="2" t="n">
        <x:f>'Daily inputs'!C224</x:f>
        <x:v>1</x:v>
      </x:c>
      <x:c r="D224" s="2" t="str">
        <x:f>'Daily inputs'!D224</x:f>
        <x:v>December normal</x:v>
      </x:c>
      <x:c r="E224" s="7" t="n">
        <x:f>'Daily inputs'!E224</x:f>
        <x:v>8.5</x:v>
      </x:c>
      <x:c r="F224" s="2" t="n">
        <x:f>'Daily inputs'!F224</x:f>
        <x:v>60</x:v>
      </x:c>
      <x:c r="G224" s="2" t="n">
        <x:f>'Daily inputs'!G224</x:f>
        <x:v>13</x:v>
      </x:c>
      <x:c r="H224" s="2" t="n">
        <x:f>'Daily inputs'!H224</x:f>
        <x:v>56</x:v>
      </x:c>
      <x:c r="I224" s="2" t="n">
        <x:f>'Daily inputs'!I224</x:f>
        <x:v>0</x:v>
      </x:c>
      <x:c r="J224" s="2" t="n">
        <x:f>'Daily inputs'!J224</x:f>
        <x:v>0</x:v>
      </x:c>
      <x:c r="K224" s="2" t="n">
        <x:f>'Daily inputs'!K224</x:f>
        <x:v>0</x:v>
      </x:c>
      <x:c r="L224" s="2" t="n">
        <x:f>MIN(F224,G224+H224-I224)</x:f>
        <x:v>60</x:v>
      </x:c>
      <x:c r="M224" s="2" t="n">
        <x:f>G224+H224-L224-I224</x:f>
        <x:v>9</x:v>
      </x:c>
      <x:c r="N224" s="2" t="n">
        <x:f>F224-L224</x:f>
        <x:v>0</x:v>
      </x:c>
      <x:c r="O224" s="2" t="n">
        <x:f>N224-J224</x:f>
        <x:v>0</x:v>
      </x:c>
      <x:c r="P224" s="2" t="n">
        <x:f>L224+I224</x:f>
        <x:v>60</x:v>
      </x:c>
      <x:c r="Q224" s="8" t="n">
        <x:f>P224*E224</x:f>
        <x:v>510</x:v>
      </x:c>
      <x:c r="R224" s="8" t="n">
        <x:f>I224*E224</x:f>
        <x:v>0</x:v>
      </x:c>
      <x:c r="S224" s="8" t="n">
        <x:f>O224*E224</x:f>
        <x:v>0</x:v>
      </x:c>
      <x:c r="T224" s="2" t="n">
        <x:f>IF(A224&lt;DATE(2025,12,1),"",IF(D224="Closed",0,ROUND(AVERAGEIFS('Daily inputs'!$F$2:$F$367,'Daily inputs'!$B$2:$B$367,B224,'Daily inputs'!$C$2:$C$367,C224,'Daily inputs'!$D$2:$D$367,"Training"),0)))</x:f>
        <x:v>60</x:v>
      </x:c>
      <x:c r="U224" s="2" t="n">
        <x:f>IF(A224&lt;DATE(2025,12,1),"",ROUND(T224*IF(D224="Christmas",Notes!$B$9,Notes!$B$8),0))</x:f>
        <x:v>62</x:v>
      </x:c>
      <x:c r="V224" s="2" t="n">
        <x:f>IF(A224&lt;DATE(2025,12,1),"",ABS(T224-F224))</x:f>
        <x:v>0</x:v>
      </x:c>
      <x:c r="W224" s="2" t="n">
        <x:f>IF(A224&lt;DATE(2025,12,1),"",ABS(U224-F224))</x:f>
        <x:v>2</x:v>
      </x:c>
      <x:c r="X224" s="2" t="n">
        <x:f>IF(A224&lt;DATE(2025,12,1),"",T224-F224)</x:f>
        <x:v>0</x:v>
      </x:c>
      <x:c r="Y224" s="2" t="n">
        <x:f>IF(A224&lt;DATE(2025,12,1),"",U224-F224)</x:f>
        <x:v>2</x:v>
      </x:c>
      <x:c r="Z224" s="2" t="n">
        <x:f>IF(N224&gt;0,1,0)</x:f>
        <x:v>0</x:v>
      </x:c>
    </x:row>
    <x:row r="225" ht="21" customHeight="1">
      <x:c r="A225" s="6" t="n">
        <x:f>'Daily inputs'!A225</x:f>
        <x:v>45999</x:v>
      </x:c>
      <x:c r="B225" s="2" t="str">
        <x:f>'Daily inputs'!B225</x:f>
        <x:v>I02</x:v>
      </x:c>
      <x:c r="C225" s="2" t="n">
        <x:f>'Daily inputs'!C225</x:f>
        <x:v>1</x:v>
      </x:c>
      <x:c r="D225" s="2" t="str">
        <x:f>'Daily inputs'!D225</x:f>
        <x:v>December normal</x:v>
      </x:c>
      <x:c r="E225" s="7" t="n">
        <x:f>'Daily inputs'!E225</x:f>
        <x:v>8</x:v>
      </x:c>
      <x:c r="F225" s="2" t="n">
        <x:f>'Daily inputs'!F225</x:f>
        <x:v>50</x:v>
      </x:c>
      <x:c r="G225" s="2" t="n">
        <x:f>'Daily inputs'!G225</x:f>
        <x:v>9</x:v>
      </x:c>
      <x:c r="H225" s="2" t="n">
        <x:f>'Daily inputs'!H225</x:f>
        <x:v>48</x:v>
      </x:c>
      <x:c r="I225" s="2" t="n">
        <x:f>'Daily inputs'!I225</x:f>
        <x:v>0</x:v>
      </x:c>
      <x:c r="J225" s="2" t="n">
        <x:f>'Daily inputs'!J225</x:f>
        <x:v>0</x:v>
      </x:c>
      <x:c r="K225" s="2" t="n">
        <x:f>'Daily inputs'!K225</x:f>
        <x:v>0</x:v>
      </x:c>
      <x:c r="L225" s="2" t="n">
        <x:f>MIN(F225,G225+H225-I225)</x:f>
        <x:v>50</x:v>
      </x:c>
      <x:c r="M225" s="2" t="n">
        <x:f>G225+H225-L225-I225</x:f>
        <x:v>7</x:v>
      </x:c>
      <x:c r="N225" s="2" t="n">
        <x:f>F225-L225</x:f>
        <x:v>0</x:v>
      </x:c>
      <x:c r="O225" s="2" t="n">
        <x:f>N225-J225</x:f>
        <x:v>0</x:v>
      </x:c>
      <x:c r="P225" s="2" t="n">
        <x:f>L225+I225</x:f>
        <x:v>50</x:v>
      </x:c>
      <x:c r="Q225" s="8" t="n">
        <x:f>P225*E225</x:f>
        <x:v>400</x:v>
      </x:c>
      <x:c r="R225" s="8" t="n">
        <x:f>I225*E225</x:f>
        <x:v>0</x:v>
      </x:c>
      <x:c r="S225" s="8" t="n">
        <x:f>O225*E225</x:f>
        <x:v>0</x:v>
      </x:c>
      <x:c r="T225" s="2" t="n">
        <x:f>IF(A225&lt;DATE(2025,12,1),"",IF(D225="Closed",0,ROUND(AVERAGEIFS('Daily inputs'!$F$2:$F$367,'Daily inputs'!$B$2:$B$367,B225,'Daily inputs'!$C$2:$C$367,C225,'Daily inputs'!$D$2:$D$367,"Training"),0)))</x:f>
        <x:v>50</x:v>
      </x:c>
      <x:c r="U225" s="2" t="n">
        <x:f>IF(A225&lt;DATE(2025,12,1),"",ROUND(T225*IF(D225="Christmas",Notes!$B$9,Notes!$B$8),0))</x:f>
        <x:v>52</x:v>
      </x:c>
      <x:c r="V225" s="2" t="n">
        <x:f>IF(A225&lt;DATE(2025,12,1),"",ABS(T225-F225))</x:f>
        <x:v>0</x:v>
      </x:c>
      <x:c r="W225" s="2" t="n">
        <x:f>IF(A225&lt;DATE(2025,12,1),"",ABS(U225-F225))</x:f>
        <x:v>2</x:v>
      </x:c>
      <x:c r="X225" s="2" t="n">
        <x:f>IF(A225&lt;DATE(2025,12,1),"",T225-F225)</x:f>
        <x:v>0</x:v>
      </x:c>
      <x:c r="Y225" s="2" t="n">
        <x:f>IF(A225&lt;DATE(2025,12,1),"",U225-F225)</x:f>
        <x:v>2</x:v>
      </x:c>
      <x:c r="Z225" s="2" t="n">
        <x:f>IF(N225&gt;0,1,0)</x:f>
        <x:v>0</x:v>
      </x:c>
    </x:row>
    <x:row r="226" ht="21" customHeight="1">
      <x:c r="A226" s="6" t="n">
        <x:f>'Daily inputs'!A226</x:f>
        <x:v>45999</x:v>
      </x:c>
      <x:c r="B226" s="2" t="str">
        <x:f>'Daily inputs'!B226</x:f>
        <x:v>I03</x:v>
      </x:c>
      <x:c r="C226" s="2" t="n">
        <x:f>'Daily inputs'!C226</x:f>
        <x:v>1</x:v>
      </x:c>
      <x:c r="D226" s="2" t="str">
        <x:f>'Daily inputs'!D226</x:f>
        <x:v>December normal</x:v>
      </x:c>
      <x:c r="E226" s="7" t="n">
        <x:f>'Daily inputs'!E226</x:f>
        <x:v>7.5</x:v>
      </x:c>
      <x:c r="F226" s="2" t="n">
        <x:f>'Daily inputs'!F226</x:f>
        <x:v>31</x:v>
      </x:c>
      <x:c r="G226" s="2" t="n">
        <x:f>'Daily inputs'!G226</x:f>
        <x:v>6</x:v>
      </x:c>
      <x:c r="H226" s="2" t="n">
        <x:f>'Daily inputs'!H226</x:f>
        <x:v>30</x:v>
      </x:c>
      <x:c r="I226" s="2" t="n">
        <x:f>'Daily inputs'!I226</x:f>
        <x:v>0</x:v>
      </x:c>
      <x:c r="J226" s="2" t="n">
        <x:f>'Daily inputs'!J226</x:f>
        <x:v>0</x:v>
      </x:c>
      <x:c r="K226" s="2" t="n">
        <x:f>'Daily inputs'!K226</x:f>
        <x:v>0</x:v>
      </x:c>
      <x:c r="L226" s="2" t="n">
        <x:f>MIN(F226,G226+H226-I226)</x:f>
        <x:v>31</x:v>
      </x:c>
      <x:c r="M226" s="2" t="n">
        <x:f>G226+H226-L226-I226</x:f>
        <x:v>5</x:v>
      </x:c>
      <x:c r="N226" s="2" t="n">
        <x:f>F226-L226</x:f>
        <x:v>0</x:v>
      </x:c>
      <x:c r="O226" s="2" t="n">
        <x:f>N226-J226</x:f>
        <x:v>0</x:v>
      </x:c>
      <x:c r="P226" s="2" t="n">
        <x:f>L226+I226</x:f>
        <x:v>31</x:v>
      </x:c>
      <x:c r="Q226" s="8" t="n">
        <x:f>P226*E226</x:f>
        <x:v>232.5</x:v>
      </x:c>
      <x:c r="R226" s="8" t="n">
        <x:f>I226*E226</x:f>
        <x:v>0</x:v>
      </x:c>
      <x:c r="S226" s="8" t="n">
        <x:f>O226*E226</x:f>
        <x:v>0</x:v>
      </x:c>
      <x:c r="T226" s="2" t="n">
        <x:f>IF(A226&lt;DATE(2025,12,1),"",IF(D226="Closed",0,ROUND(AVERAGEIFS('Daily inputs'!$F$2:$F$367,'Daily inputs'!$B$2:$B$367,B226,'Daily inputs'!$C$2:$C$367,C226,'Daily inputs'!$D$2:$D$367,"Training"),0)))</x:f>
        <x:v>29</x:v>
      </x:c>
      <x:c r="U226" s="2" t="n">
        <x:f>IF(A226&lt;DATE(2025,12,1),"",ROUND(T226*IF(D226="Christmas",Notes!$B$9,Notes!$B$8),0))</x:f>
        <x:v>30</x:v>
      </x:c>
      <x:c r="V226" s="2" t="n">
        <x:f>IF(A226&lt;DATE(2025,12,1),"",ABS(T226-F226))</x:f>
        <x:v>2</x:v>
      </x:c>
      <x:c r="W226" s="2" t="n">
        <x:f>IF(A226&lt;DATE(2025,12,1),"",ABS(U226-F226))</x:f>
        <x:v>1</x:v>
      </x:c>
      <x:c r="X226" s="2" t="n">
        <x:f>IF(A226&lt;DATE(2025,12,1),"",T226-F226)</x:f>
        <x:v>-2</x:v>
      </x:c>
      <x:c r="Y226" s="2" t="n">
        <x:f>IF(A226&lt;DATE(2025,12,1),"",U226-F226)</x:f>
        <x:v>-1</x:v>
      </x:c>
      <x:c r="Z226" s="2" t="n">
        <x:f>IF(N226&gt;0,1,0)</x:f>
        <x:v>0</x:v>
      </x:c>
    </x:row>
    <x:row r="227" ht="21" customHeight="1">
      <x:c r="A227" s="6" t="n">
        <x:f>'Daily inputs'!A227</x:f>
        <x:v>45999</x:v>
      </x:c>
      <x:c r="B227" s="2" t="str">
        <x:f>'Daily inputs'!B227</x:f>
        <x:v>I04</x:v>
      </x:c>
      <x:c r="C227" s="2" t="n">
        <x:f>'Daily inputs'!C227</x:f>
        <x:v>1</x:v>
      </x:c>
      <x:c r="D227" s="2" t="str">
        <x:f>'Daily inputs'!D227</x:f>
        <x:v>December normal</x:v>
      </x:c>
      <x:c r="E227" s="7" t="n">
        <x:f>'Daily inputs'!E227</x:f>
        <x:v>9</x:v>
      </x:c>
      <x:c r="F227" s="2" t="n">
        <x:f>'Daily inputs'!F227</x:f>
        <x:v>36</x:v>
      </x:c>
      <x:c r="G227" s="2" t="n">
        <x:f>'Daily inputs'!G227</x:f>
        <x:v>7</x:v>
      </x:c>
      <x:c r="H227" s="2" t="n">
        <x:f>'Daily inputs'!H227</x:f>
        <x:v>34</x:v>
      </x:c>
      <x:c r="I227" s="2" t="n">
        <x:f>'Daily inputs'!I227</x:f>
        <x:v>0</x:v>
      </x:c>
      <x:c r="J227" s="2" t="n">
        <x:f>'Daily inputs'!J227</x:f>
        <x:v>0</x:v>
      </x:c>
      <x:c r="K227" s="2" t="n">
        <x:f>'Daily inputs'!K227</x:f>
        <x:v>0</x:v>
      </x:c>
      <x:c r="L227" s="2" t="n">
        <x:f>MIN(F227,G227+H227-I227)</x:f>
        <x:v>36</x:v>
      </x:c>
      <x:c r="M227" s="2" t="n">
        <x:f>G227+H227-L227-I227</x:f>
        <x:v>5</x:v>
      </x:c>
      <x:c r="N227" s="2" t="n">
        <x:f>F227-L227</x:f>
        <x:v>0</x:v>
      </x:c>
      <x:c r="O227" s="2" t="n">
        <x:f>N227-J227</x:f>
        <x:v>0</x:v>
      </x:c>
      <x:c r="P227" s="2" t="n">
        <x:f>L227+I227</x:f>
        <x:v>36</x:v>
      </x:c>
      <x:c r="Q227" s="8" t="n">
        <x:f>P227*E227</x:f>
        <x:v>324</x:v>
      </x:c>
      <x:c r="R227" s="8" t="n">
        <x:f>I227*E227</x:f>
        <x:v>0</x:v>
      </x:c>
      <x:c r="S227" s="8" t="n">
        <x:f>O227*E227</x:f>
        <x:v>0</x:v>
      </x:c>
      <x:c r="T227" s="2" t="n">
        <x:f>IF(A227&lt;DATE(2025,12,1),"",IF(D227="Closed",0,ROUND(AVERAGEIFS('Daily inputs'!$F$2:$F$367,'Daily inputs'!$B$2:$B$367,B227,'Daily inputs'!$C$2:$C$367,C227,'Daily inputs'!$D$2:$D$367,"Training"),0)))</x:f>
        <x:v>33</x:v>
      </x:c>
      <x:c r="U227" s="2" t="n">
        <x:f>IF(A227&lt;DATE(2025,12,1),"",ROUND(T227*IF(D227="Christmas",Notes!$B$9,Notes!$B$8),0))</x:f>
        <x:v>34</x:v>
      </x:c>
      <x:c r="V227" s="2" t="n">
        <x:f>IF(A227&lt;DATE(2025,12,1),"",ABS(T227-F227))</x:f>
        <x:v>3</x:v>
      </x:c>
      <x:c r="W227" s="2" t="n">
        <x:f>IF(A227&lt;DATE(2025,12,1),"",ABS(U227-F227))</x:f>
        <x:v>2</x:v>
      </x:c>
      <x:c r="X227" s="2" t="n">
        <x:f>IF(A227&lt;DATE(2025,12,1),"",T227-F227)</x:f>
        <x:v>-3</x:v>
      </x:c>
      <x:c r="Y227" s="2" t="n">
        <x:f>IF(A227&lt;DATE(2025,12,1),"",U227-F227)</x:f>
        <x:v>-2</x:v>
      </x:c>
      <x:c r="Z227" s="2" t="n">
        <x:f>IF(N227&gt;0,1,0)</x:f>
        <x:v>0</x:v>
      </x:c>
    </x:row>
    <x:row r="228" ht="21" customHeight="1">
      <x:c r="A228" s="6" t="n">
        <x:f>'Daily inputs'!A228</x:f>
        <x:v>45999</x:v>
      </x:c>
      <x:c r="B228" s="2" t="str">
        <x:f>'Daily inputs'!B228</x:f>
        <x:v>I05</x:v>
      </x:c>
      <x:c r="C228" s="2" t="n">
        <x:f>'Daily inputs'!C228</x:f>
        <x:v>1</x:v>
      </x:c>
      <x:c r="D228" s="2" t="str">
        <x:f>'Daily inputs'!D228</x:f>
        <x:v>December normal</x:v>
      </x:c>
      <x:c r="E228" s="7" t="n">
        <x:f>'Daily inputs'!E228</x:f>
        <x:v>3.5</x:v>
      </x:c>
      <x:c r="F228" s="2" t="n">
        <x:f>'Daily inputs'!F228</x:f>
        <x:v>70</x:v>
      </x:c>
      <x:c r="G228" s="2" t="n">
        <x:f>'Daily inputs'!G228</x:f>
        <x:v>14</x:v>
      </x:c>
      <x:c r="H228" s="2" t="n">
        <x:f>'Daily inputs'!H228</x:f>
        <x:v>67</x:v>
      </x:c>
      <x:c r="I228" s="2" t="n">
        <x:f>'Daily inputs'!I228</x:f>
        <x:v>0</x:v>
      </x:c>
      <x:c r="J228" s="2" t="n">
        <x:f>'Daily inputs'!J228</x:f>
        <x:v>0</x:v>
      </x:c>
      <x:c r="K228" s="2" t="n">
        <x:f>'Daily inputs'!K228</x:f>
        <x:v>0</x:v>
      </x:c>
      <x:c r="L228" s="2" t="n">
        <x:f>MIN(F228,G228+H228-I228)</x:f>
        <x:v>70</x:v>
      </x:c>
      <x:c r="M228" s="2" t="n">
        <x:f>G228+H228-L228-I228</x:f>
        <x:v>11</x:v>
      </x:c>
      <x:c r="N228" s="2" t="n">
        <x:f>F228-L228</x:f>
        <x:v>0</x:v>
      </x:c>
      <x:c r="O228" s="2" t="n">
        <x:f>N228-J228</x:f>
        <x:v>0</x:v>
      </x:c>
      <x:c r="P228" s="2" t="n">
        <x:f>L228+I228</x:f>
        <x:v>70</x:v>
      </x:c>
      <x:c r="Q228" s="8" t="n">
        <x:f>P228*E228</x:f>
        <x:v>245</x:v>
      </x:c>
      <x:c r="R228" s="8" t="n">
        <x:f>I228*E228</x:f>
        <x:v>0</x:v>
      </x:c>
      <x:c r="S228" s="8" t="n">
        <x:f>O228*E228</x:f>
        <x:v>0</x:v>
      </x:c>
      <x:c r="T228" s="2" t="n">
        <x:f>IF(A228&lt;DATE(2025,12,1),"",IF(D228="Closed",0,ROUND(AVERAGEIFS('Daily inputs'!$F$2:$F$367,'Daily inputs'!$B$2:$B$367,B228,'Daily inputs'!$C$2:$C$367,C228,'Daily inputs'!$D$2:$D$367,"Training"),0)))</x:f>
        <x:v>69</x:v>
      </x:c>
      <x:c r="U228" s="2" t="n">
        <x:f>IF(A228&lt;DATE(2025,12,1),"",ROUND(T228*IF(D228="Christmas",Notes!$B$9,Notes!$B$8),0))</x:f>
        <x:v>72</x:v>
      </x:c>
      <x:c r="V228" s="2" t="n">
        <x:f>IF(A228&lt;DATE(2025,12,1),"",ABS(T228-F228))</x:f>
        <x:v>1</x:v>
      </x:c>
      <x:c r="W228" s="2" t="n">
        <x:f>IF(A228&lt;DATE(2025,12,1),"",ABS(U228-F228))</x:f>
        <x:v>2</x:v>
      </x:c>
      <x:c r="X228" s="2" t="n">
        <x:f>IF(A228&lt;DATE(2025,12,1),"",T228-F228)</x:f>
        <x:v>-1</x:v>
      </x:c>
      <x:c r="Y228" s="2" t="n">
        <x:f>IF(A228&lt;DATE(2025,12,1),"",U228-F228)</x:f>
        <x:v>2</x:v>
      </x:c>
      <x:c r="Z228" s="2" t="n">
        <x:f>IF(N228&gt;0,1,0)</x:f>
        <x:v>0</x:v>
      </x:c>
    </x:row>
    <x:row r="229" ht="21" customHeight="1">
      <x:c r="A229" s="6" t="n">
        <x:f>'Daily inputs'!A229</x:f>
        <x:v>45999</x:v>
      </x:c>
      <x:c r="B229" s="2" t="str">
        <x:f>'Daily inputs'!B229</x:f>
        <x:v>I06</x:v>
      </x:c>
      <x:c r="C229" s="2" t="n">
        <x:f>'Daily inputs'!C229</x:f>
        <x:v>1</x:v>
      </x:c>
      <x:c r="D229" s="2" t="str">
        <x:f>'Daily inputs'!D229</x:f>
        <x:v>December normal</x:v>
      </x:c>
      <x:c r="E229" s="7" t="n">
        <x:f>'Daily inputs'!E229</x:f>
        <x:v>3</x:v>
      </x:c>
      <x:c r="F229" s="2" t="n">
        <x:f>'Daily inputs'!F229</x:f>
        <x:v>28</x:v>
      </x:c>
      <x:c r="G229" s="2" t="n">
        <x:f>'Daily inputs'!G229</x:f>
        <x:v>6</x:v>
      </x:c>
      <x:c r="H229" s="2" t="n">
        <x:f>'Daily inputs'!H229</x:f>
        <x:v>26</x:v>
      </x:c>
      <x:c r="I229" s="2" t="n">
        <x:f>'Daily inputs'!I229</x:f>
        <x:v>0</x:v>
      </x:c>
      <x:c r="J229" s="2" t="n">
        <x:f>'Daily inputs'!J229</x:f>
        <x:v>0</x:v>
      </x:c>
      <x:c r="K229" s="2" t="n">
        <x:f>'Daily inputs'!K229</x:f>
        <x:v>0</x:v>
      </x:c>
      <x:c r="L229" s="2" t="n">
        <x:f>MIN(F229,G229+H229-I229)</x:f>
        <x:v>28</x:v>
      </x:c>
      <x:c r="M229" s="2" t="n">
        <x:f>G229+H229-L229-I229</x:f>
        <x:v>4</x:v>
      </x:c>
      <x:c r="N229" s="2" t="n">
        <x:f>F229-L229</x:f>
        <x:v>0</x:v>
      </x:c>
      <x:c r="O229" s="2" t="n">
        <x:f>N229-J229</x:f>
        <x:v>0</x:v>
      </x:c>
      <x:c r="P229" s="2" t="n">
        <x:f>L229+I229</x:f>
        <x:v>28</x:v>
      </x:c>
      <x:c r="Q229" s="8" t="n">
        <x:f>P229*E229</x:f>
        <x:v>84</x:v>
      </x:c>
      <x:c r="R229" s="8" t="n">
        <x:f>I229*E229</x:f>
        <x:v>0</x:v>
      </x:c>
      <x:c r="S229" s="8" t="n">
        <x:f>O229*E229</x:f>
        <x:v>0</x:v>
      </x:c>
      <x:c r="T229" s="2" t="n">
        <x:f>IF(A229&lt;DATE(2025,12,1),"",IF(D229="Closed",0,ROUND(AVERAGEIFS('Daily inputs'!$F$2:$F$367,'Daily inputs'!$B$2:$B$367,B229,'Daily inputs'!$C$2:$C$367,C229,'Daily inputs'!$D$2:$D$367,"Training"),0)))</x:f>
        <x:v>26</x:v>
      </x:c>
      <x:c r="U229" s="2" t="n">
        <x:f>IF(A229&lt;DATE(2025,12,1),"",ROUND(T229*IF(D229="Christmas",Notes!$B$9,Notes!$B$8),0))</x:f>
        <x:v>27</x:v>
      </x:c>
      <x:c r="V229" s="2" t="n">
        <x:f>IF(A229&lt;DATE(2025,12,1),"",ABS(T229-F229))</x:f>
        <x:v>2</x:v>
      </x:c>
      <x:c r="W229" s="2" t="n">
        <x:f>IF(A229&lt;DATE(2025,12,1),"",ABS(U229-F229))</x:f>
        <x:v>1</x:v>
      </x:c>
      <x:c r="X229" s="2" t="n">
        <x:f>IF(A229&lt;DATE(2025,12,1),"",T229-F229)</x:f>
        <x:v>-2</x:v>
      </x:c>
      <x:c r="Y229" s="2" t="n">
        <x:f>IF(A229&lt;DATE(2025,12,1),"",U229-F229)</x:f>
        <x:v>-1</x:v>
      </x:c>
      <x:c r="Z229" s="2" t="n">
        <x:f>IF(N229&gt;0,1,0)</x:f>
        <x:v>0</x:v>
      </x:c>
    </x:row>
    <x:row r="230" ht="21" customHeight="1">
      <x:c r="A230" s="6" t="n">
        <x:f>'Daily inputs'!A230</x:f>
        <x:v>46000</x:v>
      </x:c>
      <x:c r="B230" s="2" t="str">
        <x:f>'Daily inputs'!B230</x:f>
        <x:v>I01</x:v>
      </x:c>
      <x:c r="C230" s="2" t="n">
        <x:f>'Daily inputs'!C230</x:f>
        <x:v>2</x:v>
      </x:c>
      <x:c r="D230" s="2" t="str">
        <x:f>'Daily inputs'!D230</x:f>
        <x:v>December normal</x:v>
      </x:c>
      <x:c r="E230" s="7" t="n">
        <x:f>'Daily inputs'!E230</x:f>
        <x:v>8.5</x:v>
      </x:c>
      <x:c r="F230" s="2" t="n">
        <x:f>'Daily inputs'!F230</x:f>
        <x:v>66</x:v>
      </x:c>
      <x:c r="G230" s="2" t="n">
        <x:f>'Daily inputs'!G230</x:f>
        <x:v>9</x:v>
      </x:c>
      <x:c r="H230" s="2" t="n">
        <x:f>'Daily inputs'!H230</x:f>
        <x:v>67</x:v>
      </x:c>
      <x:c r="I230" s="2" t="n">
        <x:f>'Daily inputs'!I230</x:f>
        <x:v>0</x:v>
      </x:c>
      <x:c r="J230" s="2" t="n">
        <x:f>'Daily inputs'!J230</x:f>
        <x:v>0</x:v>
      </x:c>
      <x:c r="K230" s="2" t="n">
        <x:f>'Daily inputs'!K230</x:f>
        <x:v>0</x:v>
      </x:c>
      <x:c r="L230" s="2" t="n">
        <x:f>MIN(F230,G230+H230-I230)</x:f>
        <x:v>66</x:v>
      </x:c>
      <x:c r="M230" s="2" t="n">
        <x:f>G230+H230-L230-I230</x:f>
        <x:v>10</x:v>
      </x:c>
      <x:c r="N230" s="2" t="n">
        <x:f>F230-L230</x:f>
        <x:v>0</x:v>
      </x:c>
      <x:c r="O230" s="2" t="n">
        <x:f>N230-J230</x:f>
        <x:v>0</x:v>
      </x:c>
      <x:c r="P230" s="2" t="n">
        <x:f>L230+I230</x:f>
        <x:v>66</x:v>
      </x:c>
      <x:c r="Q230" s="8" t="n">
        <x:f>P230*E230</x:f>
        <x:v>561</x:v>
      </x:c>
      <x:c r="R230" s="8" t="n">
        <x:f>I230*E230</x:f>
        <x:v>0</x:v>
      </x:c>
      <x:c r="S230" s="8" t="n">
        <x:f>O230*E230</x:f>
        <x:v>0</x:v>
      </x:c>
      <x:c r="T230" s="2" t="n">
        <x:f>IF(A230&lt;DATE(2025,12,1),"",IF(D230="Closed",0,ROUND(AVERAGEIFS('Daily inputs'!$F$2:$F$367,'Daily inputs'!$B$2:$B$367,B230,'Daily inputs'!$C$2:$C$367,C230,'Daily inputs'!$D$2:$D$367,"Training"),0)))</x:f>
        <x:v>65</x:v>
      </x:c>
      <x:c r="U230" s="2" t="n">
        <x:f>IF(A230&lt;DATE(2025,12,1),"",ROUND(T230*IF(D230="Christmas",Notes!$B$9,Notes!$B$8),0))</x:f>
        <x:v>68</x:v>
      </x:c>
      <x:c r="V230" s="2" t="n">
        <x:f>IF(A230&lt;DATE(2025,12,1),"",ABS(T230-F230))</x:f>
        <x:v>1</x:v>
      </x:c>
      <x:c r="W230" s="2" t="n">
        <x:f>IF(A230&lt;DATE(2025,12,1),"",ABS(U230-F230))</x:f>
        <x:v>2</x:v>
      </x:c>
      <x:c r="X230" s="2" t="n">
        <x:f>IF(A230&lt;DATE(2025,12,1),"",T230-F230)</x:f>
        <x:v>-1</x:v>
      </x:c>
      <x:c r="Y230" s="2" t="n">
        <x:f>IF(A230&lt;DATE(2025,12,1),"",U230-F230)</x:f>
        <x:v>2</x:v>
      </x:c>
      <x:c r="Z230" s="2" t="n">
        <x:f>IF(N230&gt;0,1,0)</x:f>
        <x:v>0</x:v>
      </x:c>
    </x:row>
    <x:row r="231" ht="21" customHeight="1">
      <x:c r="A231" s="6" t="n">
        <x:f>'Daily inputs'!A231</x:f>
        <x:v>46000</x:v>
      </x:c>
      <x:c r="B231" s="2" t="str">
        <x:f>'Daily inputs'!B231</x:f>
        <x:v>I02</x:v>
      </x:c>
      <x:c r="C231" s="2" t="n">
        <x:f>'Daily inputs'!C231</x:f>
        <x:v>2</x:v>
      </x:c>
      <x:c r="D231" s="2" t="str">
        <x:f>'Daily inputs'!D231</x:f>
        <x:v>December normal</x:v>
      </x:c>
      <x:c r="E231" s="7" t="n">
        <x:f>'Daily inputs'!E231</x:f>
        <x:v>8</x:v>
      </x:c>
      <x:c r="F231" s="2" t="n">
        <x:f>'Daily inputs'!F231</x:f>
        <x:v>57</x:v>
      </x:c>
      <x:c r="G231" s="2" t="n">
        <x:f>'Daily inputs'!G231</x:f>
        <x:v>7</x:v>
      </x:c>
      <x:c r="H231" s="2" t="n">
        <x:f>'Daily inputs'!H231</x:f>
        <x:v>59</x:v>
      </x:c>
      <x:c r="I231" s="2" t="n">
        <x:f>'Daily inputs'!I231</x:f>
        <x:v>0</x:v>
      </x:c>
      <x:c r="J231" s="2" t="n">
        <x:f>'Daily inputs'!J231</x:f>
        <x:v>0</x:v>
      </x:c>
      <x:c r="K231" s="2" t="n">
        <x:f>'Daily inputs'!K231</x:f>
        <x:v>0</x:v>
      </x:c>
      <x:c r="L231" s="2" t="n">
        <x:f>MIN(F231,G231+H231-I231)</x:f>
        <x:v>57</x:v>
      </x:c>
      <x:c r="M231" s="2" t="n">
        <x:f>G231+H231-L231-I231</x:f>
        <x:v>9</x:v>
      </x:c>
      <x:c r="N231" s="2" t="n">
        <x:f>F231-L231</x:f>
        <x:v>0</x:v>
      </x:c>
      <x:c r="O231" s="2" t="n">
        <x:f>N231-J231</x:f>
        <x:v>0</x:v>
      </x:c>
      <x:c r="P231" s="2" t="n">
        <x:f>L231+I231</x:f>
        <x:v>57</x:v>
      </x:c>
      <x:c r="Q231" s="8" t="n">
        <x:f>P231*E231</x:f>
        <x:v>456</x:v>
      </x:c>
      <x:c r="R231" s="8" t="n">
        <x:f>I231*E231</x:f>
        <x:v>0</x:v>
      </x:c>
      <x:c r="S231" s="8" t="n">
        <x:f>O231*E231</x:f>
        <x:v>0</x:v>
      </x:c>
      <x:c r="T231" s="2" t="n">
        <x:f>IF(A231&lt;DATE(2025,12,1),"",IF(D231="Closed",0,ROUND(AVERAGEIFS('Daily inputs'!$F$2:$F$367,'Daily inputs'!$B$2:$B$367,B231,'Daily inputs'!$C$2:$C$367,C231,'Daily inputs'!$D$2:$D$367,"Training"),0)))</x:f>
        <x:v>53</x:v>
      </x:c>
      <x:c r="U231" s="2" t="n">
        <x:f>IF(A231&lt;DATE(2025,12,1),"",ROUND(T231*IF(D231="Christmas",Notes!$B$9,Notes!$B$8),0))</x:f>
        <x:v>55</x:v>
      </x:c>
      <x:c r="V231" s="2" t="n">
        <x:f>IF(A231&lt;DATE(2025,12,1),"",ABS(T231-F231))</x:f>
        <x:v>4</x:v>
      </x:c>
      <x:c r="W231" s="2" t="n">
        <x:f>IF(A231&lt;DATE(2025,12,1),"",ABS(U231-F231))</x:f>
        <x:v>2</x:v>
      </x:c>
      <x:c r="X231" s="2" t="n">
        <x:f>IF(A231&lt;DATE(2025,12,1),"",T231-F231)</x:f>
        <x:v>-4</x:v>
      </x:c>
      <x:c r="Y231" s="2" t="n">
        <x:f>IF(A231&lt;DATE(2025,12,1),"",U231-F231)</x:f>
        <x:v>-2</x:v>
      </x:c>
      <x:c r="Z231" s="2" t="n">
        <x:f>IF(N231&gt;0,1,0)</x:f>
        <x:v>0</x:v>
      </x:c>
    </x:row>
    <x:row r="232" ht="21" customHeight="1">
      <x:c r="A232" s="6" t="n">
        <x:f>'Daily inputs'!A232</x:f>
        <x:v>46000</x:v>
      </x:c>
      <x:c r="B232" s="2" t="str">
        <x:f>'Daily inputs'!B232</x:f>
        <x:v>I03</x:v>
      </x:c>
      <x:c r="C232" s="2" t="n">
        <x:f>'Daily inputs'!C232</x:f>
        <x:v>2</x:v>
      </x:c>
      <x:c r="D232" s="2" t="str">
        <x:f>'Daily inputs'!D232</x:f>
        <x:v>December normal</x:v>
      </x:c>
      <x:c r="E232" s="7" t="n">
        <x:f>'Daily inputs'!E232</x:f>
        <x:v>7.5</x:v>
      </x:c>
      <x:c r="F232" s="2" t="n">
        <x:f>'Daily inputs'!F232</x:f>
        <x:v>32</x:v>
      </x:c>
      <x:c r="G232" s="2" t="n">
        <x:f>'Daily inputs'!G232</x:f>
        <x:v>5</x:v>
      </x:c>
      <x:c r="H232" s="2" t="n">
        <x:f>'Daily inputs'!H232</x:f>
        <x:v>32</x:v>
      </x:c>
      <x:c r="I232" s="2" t="n">
        <x:f>'Daily inputs'!I232</x:f>
        <x:v>0</x:v>
      </x:c>
      <x:c r="J232" s="2" t="n">
        <x:f>'Daily inputs'!J232</x:f>
        <x:v>0</x:v>
      </x:c>
      <x:c r="K232" s="2" t="n">
        <x:f>'Daily inputs'!K232</x:f>
        <x:v>0</x:v>
      </x:c>
      <x:c r="L232" s="2" t="n">
        <x:f>MIN(F232,G232+H232-I232)</x:f>
        <x:v>32</x:v>
      </x:c>
      <x:c r="M232" s="2" t="n">
        <x:f>G232+H232-L232-I232</x:f>
        <x:v>5</x:v>
      </x:c>
      <x:c r="N232" s="2" t="n">
        <x:f>F232-L232</x:f>
        <x:v>0</x:v>
      </x:c>
      <x:c r="O232" s="2" t="n">
        <x:f>N232-J232</x:f>
        <x:v>0</x:v>
      </x:c>
      <x:c r="P232" s="2" t="n">
        <x:f>L232+I232</x:f>
        <x:v>32</x:v>
      </x:c>
      <x:c r="Q232" s="8" t="n">
        <x:f>P232*E232</x:f>
        <x:v>240</x:v>
      </x:c>
      <x:c r="R232" s="8" t="n">
        <x:f>I232*E232</x:f>
        <x:v>0</x:v>
      </x:c>
      <x:c r="S232" s="8" t="n">
        <x:f>O232*E232</x:f>
        <x:v>0</x:v>
      </x:c>
      <x:c r="T232" s="2" t="n">
        <x:f>IF(A232&lt;DATE(2025,12,1),"",IF(D232="Closed",0,ROUND(AVERAGEIFS('Daily inputs'!$F$2:$F$367,'Daily inputs'!$B$2:$B$367,B232,'Daily inputs'!$C$2:$C$367,C232,'Daily inputs'!$D$2:$D$367,"Training"),0)))</x:f>
        <x:v>31</x:v>
      </x:c>
      <x:c r="U232" s="2" t="n">
        <x:f>IF(A232&lt;DATE(2025,12,1),"",ROUND(T232*IF(D232="Christmas",Notes!$B$9,Notes!$B$8),0))</x:f>
        <x:v>32</x:v>
      </x:c>
      <x:c r="V232" s="2" t="n">
        <x:f>IF(A232&lt;DATE(2025,12,1),"",ABS(T232-F232))</x:f>
        <x:v>1</x:v>
      </x:c>
      <x:c r="W232" s="2" t="n">
        <x:f>IF(A232&lt;DATE(2025,12,1),"",ABS(U232-F232))</x:f>
        <x:v>0</x:v>
      </x:c>
      <x:c r="X232" s="2" t="n">
        <x:f>IF(A232&lt;DATE(2025,12,1),"",T232-F232)</x:f>
        <x:v>-1</x:v>
      </x:c>
      <x:c r="Y232" s="2" t="n">
        <x:f>IF(A232&lt;DATE(2025,12,1),"",U232-F232)</x:f>
        <x:v>0</x:v>
      </x:c>
      <x:c r="Z232" s="2" t="n">
        <x:f>IF(N232&gt;0,1,0)</x:f>
        <x:v>0</x:v>
      </x:c>
    </x:row>
    <x:row r="233" ht="21" customHeight="1">
      <x:c r="A233" s="6" t="n">
        <x:f>'Daily inputs'!A233</x:f>
        <x:v>46000</x:v>
      </x:c>
      <x:c r="B233" s="2" t="str">
        <x:f>'Daily inputs'!B233</x:f>
        <x:v>I04</x:v>
      </x:c>
      <x:c r="C233" s="2" t="n">
        <x:f>'Daily inputs'!C233</x:f>
        <x:v>2</x:v>
      </x:c>
      <x:c r="D233" s="2" t="str">
        <x:f>'Daily inputs'!D233</x:f>
        <x:v>December normal</x:v>
      </x:c>
      <x:c r="E233" s="7" t="n">
        <x:f>'Daily inputs'!E233</x:f>
        <x:v>9</x:v>
      </x:c>
      <x:c r="F233" s="2" t="n">
        <x:f>'Daily inputs'!F233</x:f>
        <x:v>39</x:v>
      </x:c>
      <x:c r="G233" s="2" t="n">
        <x:f>'Daily inputs'!G233</x:f>
        <x:v>5</x:v>
      </x:c>
      <x:c r="H233" s="2" t="n">
        <x:f>'Daily inputs'!H233</x:f>
        <x:v>40</x:v>
      </x:c>
      <x:c r="I233" s="2" t="n">
        <x:f>'Daily inputs'!I233</x:f>
        <x:v>0</x:v>
      </x:c>
      <x:c r="J233" s="2" t="n">
        <x:f>'Daily inputs'!J233</x:f>
        <x:v>0</x:v>
      </x:c>
      <x:c r="K233" s="2" t="n">
        <x:f>'Daily inputs'!K233</x:f>
        <x:v>0</x:v>
      </x:c>
      <x:c r="L233" s="2" t="n">
        <x:f>MIN(F233,G233+H233-I233)</x:f>
        <x:v>39</x:v>
      </x:c>
      <x:c r="M233" s="2" t="n">
        <x:f>G233+H233-L233-I233</x:f>
        <x:v>6</x:v>
      </x:c>
      <x:c r="N233" s="2" t="n">
        <x:f>F233-L233</x:f>
        <x:v>0</x:v>
      </x:c>
      <x:c r="O233" s="2" t="n">
        <x:f>N233-J233</x:f>
        <x:v>0</x:v>
      </x:c>
      <x:c r="P233" s="2" t="n">
        <x:f>L233+I233</x:f>
        <x:v>39</x:v>
      </x:c>
      <x:c r="Q233" s="8" t="n">
        <x:f>P233*E233</x:f>
        <x:v>351</x:v>
      </x:c>
      <x:c r="R233" s="8" t="n">
        <x:f>I233*E233</x:f>
        <x:v>0</x:v>
      </x:c>
      <x:c r="S233" s="8" t="n">
        <x:f>O233*E233</x:f>
        <x:v>0</x:v>
      </x:c>
      <x:c r="T233" s="2" t="n">
        <x:f>IF(A233&lt;DATE(2025,12,1),"",IF(D233="Closed",0,ROUND(AVERAGEIFS('Daily inputs'!$F$2:$F$367,'Daily inputs'!$B$2:$B$367,B233,'Daily inputs'!$C$2:$C$367,C233,'Daily inputs'!$D$2:$D$367,"Training"),0)))</x:f>
        <x:v>37</x:v>
      </x:c>
      <x:c r="U233" s="2" t="n">
        <x:f>IF(A233&lt;DATE(2025,12,1),"",ROUND(T233*IF(D233="Christmas",Notes!$B$9,Notes!$B$8),0))</x:f>
        <x:v>38</x:v>
      </x:c>
      <x:c r="V233" s="2" t="n">
        <x:f>IF(A233&lt;DATE(2025,12,1),"",ABS(T233-F233))</x:f>
        <x:v>2</x:v>
      </x:c>
      <x:c r="W233" s="2" t="n">
        <x:f>IF(A233&lt;DATE(2025,12,1),"",ABS(U233-F233))</x:f>
        <x:v>1</x:v>
      </x:c>
      <x:c r="X233" s="2" t="n">
        <x:f>IF(A233&lt;DATE(2025,12,1),"",T233-F233)</x:f>
        <x:v>-2</x:v>
      </x:c>
      <x:c r="Y233" s="2" t="n">
        <x:f>IF(A233&lt;DATE(2025,12,1),"",U233-F233)</x:f>
        <x:v>-1</x:v>
      </x:c>
      <x:c r="Z233" s="2" t="n">
        <x:f>IF(N233&gt;0,1,0)</x:f>
        <x:v>0</x:v>
      </x:c>
    </x:row>
    <x:row r="234" ht="21" customHeight="1">
      <x:c r="A234" s="6" t="n">
        <x:f>'Daily inputs'!A234</x:f>
        <x:v>46000</x:v>
      </x:c>
      <x:c r="B234" s="2" t="str">
        <x:f>'Daily inputs'!B234</x:f>
        <x:v>I05</x:v>
      </x:c>
      <x:c r="C234" s="2" t="n">
        <x:f>'Daily inputs'!C234</x:f>
        <x:v>2</x:v>
      </x:c>
      <x:c r="D234" s="2" t="str">
        <x:f>'Daily inputs'!D234</x:f>
        <x:v>December normal</x:v>
      </x:c>
      <x:c r="E234" s="7" t="n">
        <x:f>'Daily inputs'!E234</x:f>
        <x:v>3.5</x:v>
      </x:c>
      <x:c r="F234" s="2" t="n">
        <x:f>'Daily inputs'!F234</x:f>
        <x:v>81</x:v>
      </x:c>
      <x:c r="G234" s="2" t="n">
        <x:f>'Daily inputs'!G234</x:f>
        <x:v>11</x:v>
      </x:c>
      <x:c r="H234" s="2" t="n">
        <x:f>'Daily inputs'!H234</x:f>
        <x:v>82</x:v>
      </x:c>
      <x:c r="I234" s="2" t="n">
        <x:f>'Daily inputs'!I234</x:f>
        <x:v>0</x:v>
      </x:c>
      <x:c r="J234" s="2" t="n">
        <x:f>'Daily inputs'!J234</x:f>
        <x:v>0</x:v>
      </x:c>
      <x:c r="K234" s="2" t="n">
        <x:f>'Daily inputs'!K234</x:f>
        <x:v>0</x:v>
      </x:c>
      <x:c r="L234" s="2" t="n">
        <x:f>MIN(F234,G234+H234-I234)</x:f>
        <x:v>81</x:v>
      </x:c>
      <x:c r="M234" s="2" t="n">
        <x:f>G234+H234-L234-I234</x:f>
        <x:v>12</x:v>
      </x:c>
      <x:c r="N234" s="2" t="n">
        <x:f>F234-L234</x:f>
        <x:v>0</x:v>
      </x:c>
      <x:c r="O234" s="2" t="n">
        <x:f>N234-J234</x:f>
        <x:v>0</x:v>
      </x:c>
      <x:c r="P234" s="2" t="n">
        <x:f>L234+I234</x:f>
        <x:v>81</x:v>
      </x:c>
      <x:c r="Q234" s="8" t="n">
        <x:f>P234*E234</x:f>
        <x:v>283.5</x:v>
      </x:c>
      <x:c r="R234" s="8" t="n">
        <x:f>I234*E234</x:f>
        <x:v>0</x:v>
      </x:c>
      <x:c r="S234" s="8" t="n">
        <x:f>O234*E234</x:f>
        <x:v>0</x:v>
      </x:c>
      <x:c r="T234" s="2" t="n">
        <x:f>IF(A234&lt;DATE(2025,12,1),"",IF(D234="Closed",0,ROUND(AVERAGEIFS('Daily inputs'!$F$2:$F$367,'Daily inputs'!$B$2:$B$367,B234,'Daily inputs'!$C$2:$C$367,C234,'Daily inputs'!$D$2:$D$367,"Training"),0)))</x:f>
        <x:v>75</x:v>
      </x:c>
      <x:c r="U234" s="2" t="n">
        <x:f>IF(A234&lt;DATE(2025,12,1),"",ROUND(T234*IF(D234="Christmas",Notes!$B$9,Notes!$B$8),0))</x:f>
        <x:v>78</x:v>
      </x:c>
      <x:c r="V234" s="2" t="n">
        <x:f>IF(A234&lt;DATE(2025,12,1),"",ABS(T234-F234))</x:f>
        <x:v>6</x:v>
      </x:c>
      <x:c r="W234" s="2" t="n">
        <x:f>IF(A234&lt;DATE(2025,12,1),"",ABS(U234-F234))</x:f>
        <x:v>3</x:v>
      </x:c>
      <x:c r="X234" s="2" t="n">
        <x:f>IF(A234&lt;DATE(2025,12,1),"",T234-F234)</x:f>
        <x:v>-6</x:v>
      </x:c>
      <x:c r="Y234" s="2" t="n">
        <x:f>IF(A234&lt;DATE(2025,12,1),"",U234-F234)</x:f>
        <x:v>-3</x:v>
      </x:c>
      <x:c r="Z234" s="2" t="n">
        <x:f>IF(N234&gt;0,1,0)</x:f>
        <x:v>0</x:v>
      </x:c>
    </x:row>
    <x:row r="235" ht="21" customHeight="1">
      <x:c r="A235" s="6" t="n">
        <x:f>'Daily inputs'!A235</x:f>
        <x:v>46000</x:v>
      </x:c>
      <x:c r="B235" s="2" t="str">
        <x:f>'Daily inputs'!B235</x:f>
        <x:v>I06</x:v>
      </x:c>
      <x:c r="C235" s="2" t="n">
        <x:f>'Daily inputs'!C235</x:f>
        <x:v>2</x:v>
      </x:c>
      <x:c r="D235" s="2" t="str">
        <x:f>'Daily inputs'!D235</x:f>
        <x:v>December normal</x:v>
      </x:c>
      <x:c r="E235" s="7" t="n">
        <x:f>'Daily inputs'!E235</x:f>
        <x:v>3</x:v>
      </x:c>
      <x:c r="F235" s="2" t="n">
        <x:f>'Daily inputs'!F235</x:f>
        <x:v>30</x:v>
      </x:c>
      <x:c r="G235" s="2" t="n">
        <x:f>'Daily inputs'!G235</x:f>
        <x:v>4</x:v>
      </x:c>
      <x:c r="H235" s="2" t="n">
        <x:f>'Daily inputs'!H235</x:f>
        <x:v>31</x:v>
      </x:c>
      <x:c r="I235" s="2" t="n">
        <x:f>'Daily inputs'!I235</x:f>
        <x:v>0</x:v>
      </x:c>
      <x:c r="J235" s="2" t="n">
        <x:f>'Daily inputs'!J235</x:f>
        <x:v>0</x:v>
      </x:c>
      <x:c r="K235" s="2" t="n">
        <x:f>'Daily inputs'!K235</x:f>
        <x:v>0</x:v>
      </x:c>
      <x:c r="L235" s="2" t="n">
        <x:f>MIN(F235,G235+H235-I235)</x:f>
        <x:v>30</x:v>
      </x:c>
      <x:c r="M235" s="2" t="n">
        <x:f>G235+H235-L235-I235</x:f>
        <x:v>5</x:v>
      </x:c>
      <x:c r="N235" s="2" t="n">
        <x:f>F235-L235</x:f>
        <x:v>0</x:v>
      </x:c>
      <x:c r="O235" s="2" t="n">
        <x:f>N235-J235</x:f>
        <x:v>0</x:v>
      </x:c>
      <x:c r="P235" s="2" t="n">
        <x:f>L235+I235</x:f>
        <x:v>30</x:v>
      </x:c>
      <x:c r="Q235" s="8" t="n">
        <x:f>P235*E235</x:f>
        <x:v>90</x:v>
      </x:c>
      <x:c r="R235" s="8" t="n">
        <x:f>I235*E235</x:f>
        <x:v>0</x:v>
      </x:c>
      <x:c r="S235" s="8" t="n">
        <x:f>O235*E235</x:f>
        <x:v>0</x:v>
      </x:c>
      <x:c r="T235" s="2" t="n">
        <x:f>IF(A235&lt;DATE(2025,12,1),"",IF(D235="Closed",0,ROUND(AVERAGEIFS('Daily inputs'!$F$2:$F$367,'Daily inputs'!$B$2:$B$367,B235,'Daily inputs'!$C$2:$C$367,C235,'Daily inputs'!$D$2:$D$367,"Training"),0)))</x:f>
        <x:v>28</x:v>
      </x:c>
      <x:c r="U235" s="2" t="n">
        <x:f>IF(A235&lt;DATE(2025,12,1),"",ROUND(T235*IF(D235="Christmas",Notes!$B$9,Notes!$B$8),0))</x:f>
        <x:v>29</x:v>
      </x:c>
      <x:c r="V235" s="2" t="n">
        <x:f>IF(A235&lt;DATE(2025,12,1),"",ABS(T235-F235))</x:f>
        <x:v>2</x:v>
      </x:c>
      <x:c r="W235" s="2" t="n">
        <x:f>IF(A235&lt;DATE(2025,12,1),"",ABS(U235-F235))</x:f>
        <x:v>1</x:v>
      </x:c>
      <x:c r="X235" s="2" t="n">
        <x:f>IF(A235&lt;DATE(2025,12,1),"",T235-F235)</x:f>
        <x:v>-2</x:v>
      </x:c>
      <x:c r="Y235" s="2" t="n">
        <x:f>IF(A235&lt;DATE(2025,12,1),"",U235-F235)</x:f>
        <x:v>-1</x:v>
      </x:c>
      <x:c r="Z235" s="2" t="n">
        <x:f>IF(N235&gt;0,1,0)</x:f>
        <x:v>0</x:v>
      </x:c>
    </x:row>
    <x:row r="236" ht="21" customHeight="1">
      <x:c r="A236" s="6" t="n">
        <x:f>'Daily inputs'!A236</x:f>
        <x:v>46001</x:v>
      </x:c>
      <x:c r="B236" s="2" t="str">
        <x:f>'Daily inputs'!B236</x:f>
        <x:v>I01</x:v>
      </x:c>
      <x:c r="C236" s="2" t="n">
        <x:f>'Daily inputs'!C236</x:f>
        <x:v>3</x:v>
      </x:c>
      <x:c r="D236" s="2" t="str">
        <x:f>'Daily inputs'!D236</x:f>
        <x:v>December normal</x:v>
      </x:c>
      <x:c r="E236" s="7" t="n">
        <x:f>'Daily inputs'!E236</x:f>
        <x:v>8.5</x:v>
      </x:c>
      <x:c r="F236" s="2" t="n">
        <x:f>'Daily inputs'!F236</x:f>
        <x:v>70</x:v>
      </x:c>
      <x:c r="G236" s="2" t="n">
        <x:f>'Daily inputs'!G236</x:f>
        <x:v>10</x:v>
      </x:c>
      <x:c r="H236" s="2" t="n">
        <x:f>'Daily inputs'!H236</x:f>
        <x:v>71</x:v>
      </x:c>
      <x:c r="I236" s="2" t="n">
        <x:f>'Daily inputs'!I236</x:f>
        <x:v>0</x:v>
      </x:c>
      <x:c r="J236" s="2" t="n">
        <x:f>'Daily inputs'!J236</x:f>
        <x:v>0</x:v>
      </x:c>
      <x:c r="K236" s="2" t="n">
        <x:f>'Daily inputs'!K236</x:f>
        <x:v>0</x:v>
      </x:c>
      <x:c r="L236" s="2" t="n">
        <x:f>MIN(F236,G236+H236-I236)</x:f>
        <x:v>70</x:v>
      </x:c>
      <x:c r="M236" s="2" t="n">
        <x:f>G236+H236-L236-I236</x:f>
        <x:v>11</x:v>
      </x:c>
      <x:c r="N236" s="2" t="n">
        <x:f>F236-L236</x:f>
        <x:v>0</x:v>
      </x:c>
      <x:c r="O236" s="2" t="n">
        <x:f>N236-J236</x:f>
        <x:v>0</x:v>
      </x:c>
      <x:c r="P236" s="2" t="n">
        <x:f>L236+I236</x:f>
        <x:v>70</x:v>
      </x:c>
      <x:c r="Q236" s="8" t="n">
        <x:f>P236*E236</x:f>
        <x:v>595</x:v>
      </x:c>
      <x:c r="R236" s="8" t="n">
        <x:f>I236*E236</x:f>
        <x:v>0</x:v>
      </x:c>
      <x:c r="S236" s="8" t="n">
        <x:f>O236*E236</x:f>
        <x:v>0</x:v>
      </x:c>
      <x:c r="T236" s="2" t="n">
        <x:f>IF(A236&lt;DATE(2025,12,1),"",IF(D236="Closed",0,ROUND(AVERAGEIFS('Daily inputs'!$F$2:$F$367,'Daily inputs'!$B$2:$B$367,B236,'Daily inputs'!$C$2:$C$367,C236,'Daily inputs'!$D$2:$D$367,"Training"),0)))</x:f>
        <x:v>67</x:v>
      </x:c>
      <x:c r="U236" s="2" t="n">
        <x:f>IF(A236&lt;DATE(2025,12,1),"",ROUND(T236*IF(D236="Christmas",Notes!$B$9,Notes!$B$8),0))</x:f>
        <x:v>70</x:v>
      </x:c>
      <x:c r="V236" s="2" t="n">
        <x:f>IF(A236&lt;DATE(2025,12,1),"",ABS(T236-F236))</x:f>
        <x:v>3</x:v>
      </x:c>
      <x:c r="W236" s="2" t="n">
        <x:f>IF(A236&lt;DATE(2025,12,1),"",ABS(U236-F236))</x:f>
        <x:v>0</x:v>
      </x:c>
      <x:c r="X236" s="2" t="n">
        <x:f>IF(A236&lt;DATE(2025,12,1),"",T236-F236)</x:f>
        <x:v>-3</x:v>
      </x:c>
      <x:c r="Y236" s="2" t="n">
        <x:f>IF(A236&lt;DATE(2025,12,1),"",U236-F236)</x:f>
        <x:v>0</x:v>
      </x:c>
      <x:c r="Z236" s="2" t="n">
        <x:f>IF(N236&gt;0,1,0)</x:f>
        <x:v>0</x:v>
      </x:c>
    </x:row>
    <x:row r="237" ht="21" customHeight="1">
      <x:c r="A237" s="6" t="n">
        <x:f>'Daily inputs'!A237</x:f>
        <x:v>46001</x:v>
      </x:c>
      <x:c r="B237" s="2" t="str">
        <x:f>'Daily inputs'!B237</x:f>
        <x:v>I02</x:v>
      </x:c>
      <x:c r="C237" s="2" t="n">
        <x:f>'Daily inputs'!C237</x:f>
        <x:v>3</x:v>
      </x:c>
      <x:c r="D237" s="2" t="str">
        <x:f>'Daily inputs'!D237</x:f>
        <x:v>December normal</x:v>
      </x:c>
      <x:c r="E237" s="7" t="n">
        <x:f>'Daily inputs'!E237</x:f>
        <x:v>8</x:v>
      </x:c>
      <x:c r="F237" s="2" t="n">
        <x:f>'Daily inputs'!F237</x:f>
        <x:v>56</x:v>
      </x:c>
      <x:c r="G237" s="2" t="n">
        <x:f>'Daily inputs'!G237</x:f>
        <x:v>9</x:v>
      </x:c>
      <x:c r="H237" s="2" t="n">
        <x:f>'Daily inputs'!H237</x:f>
        <x:v>55</x:v>
      </x:c>
      <x:c r="I237" s="2" t="n">
        <x:f>'Daily inputs'!I237</x:f>
        <x:v>0</x:v>
      </x:c>
      <x:c r="J237" s="2" t="n">
        <x:f>'Daily inputs'!J237</x:f>
        <x:v>0</x:v>
      </x:c>
      <x:c r="K237" s="2" t="n">
        <x:f>'Daily inputs'!K237</x:f>
        <x:v>0</x:v>
      </x:c>
      <x:c r="L237" s="2" t="n">
        <x:f>MIN(F237,G237+H237-I237)</x:f>
        <x:v>56</x:v>
      </x:c>
      <x:c r="M237" s="2" t="n">
        <x:f>G237+H237-L237-I237</x:f>
        <x:v>8</x:v>
      </x:c>
      <x:c r="N237" s="2" t="n">
        <x:f>F237-L237</x:f>
        <x:v>0</x:v>
      </x:c>
      <x:c r="O237" s="2" t="n">
        <x:f>N237-J237</x:f>
        <x:v>0</x:v>
      </x:c>
      <x:c r="P237" s="2" t="n">
        <x:f>L237+I237</x:f>
        <x:v>56</x:v>
      </x:c>
      <x:c r="Q237" s="8" t="n">
        <x:f>P237*E237</x:f>
        <x:v>448</x:v>
      </x:c>
      <x:c r="R237" s="8" t="n">
        <x:f>I237*E237</x:f>
        <x:v>0</x:v>
      </x:c>
      <x:c r="S237" s="8" t="n">
        <x:f>O237*E237</x:f>
        <x:v>0</x:v>
      </x:c>
      <x:c r="T237" s="2" t="n">
        <x:f>IF(A237&lt;DATE(2025,12,1),"",IF(D237="Closed",0,ROUND(AVERAGEIFS('Daily inputs'!$F$2:$F$367,'Daily inputs'!$B$2:$B$367,B237,'Daily inputs'!$C$2:$C$367,C237,'Daily inputs'!$D$2:$D$367,"Training"),0)))</x:f>
        <x:v>54</x:v>
      </x:c>
      <x:c r="U237" s="2" t="n">
        <x:f>IF(A237&lt;DATE(2025,12,1),"",ROUND(T237*IF(D237="Christmas",Notes!$B$9,Notes!$B$8),0))</x:f>
        <x:v>56</x:v>
      </x:c>
      <x:c r="V237" s="2" t="n">
        <x:f>IF(A237&lt;DATE(2025,12,1),"",ABS(T237-F237))</x:f>
        <x:v>2</x:v>
      </x:c>
      <x:c r="W237" s="2" t="n">
        <x:f>IF(A237&lt;DATE(2025,12,1),"",ABS(U237-F237))</x:f>
        <x:v>0</x:v>
      </x:c>
      <x:c r="X237" s="2" t="n">
        <x:f>IF(A237&lt;DATE(2025,12,1),"",T237-F237)</x:f>
        <x:v>-2</x:v>
      </x:c>
      <x:c r="Y237" s="2" t="n">
        <x:f>IF(A237&lt;DATE(2025,12,1),"",U237-F237)</x:f>
        <x:v>0</x:v>
      </x:c>
      <x:c r="Z237" s="2" t="n">
        <x:f>IF(N237&gt;0,1,0)</x:f>
        <x:v>0</x:v>
      </x:c>
    </x:row>
    <x:row r="238" ht="21" customHeight="1">
      <x:c r="A238" s="6" t="n">
        <x:f>'Daily inputs'!A238</x:f>
        <x:v>46001</x:v>
      </x:c>
      <x:c r="B238" s="2" t="str">
        <x:f>'Daily inputs'!B238</x:f>
        <x:v>I03</x:v>
      </x:c>
      <x:c r="C238" s="2" t="n">
        <x:f>'Daily inputs'!C238</x:f>
        <x:v>3</x:v>
      </x:c>
      <x:c r="D238" s="2" t="str">
        <x:f>'Daily inputs'!D238</x:f>
        <x:v>December normal</x:v>
      </x:c>
      <x:c r="E238" s="7" t="n">
        <x:f>'Daily inputs'!E238</x:f>
        <x:v>7.5</x:v>
      </x:c>
      <x:c r="F238" s="2" t="n">
        <x:f>'Daily inputs'!F238</x:f>
        <x:v>31</x:v>
      </x:c>
      <x:c r="G238" s="2" t="n">
        <x:f>'Daily inputs'!G238</x:f>
        <x:v>5</x:v>
      </x:c>
      <x:c r="H238" s="2" t="n">
        <x:f>'Daily inputs'!H238</x:f>
        <x:v>31</x:v>
      </x:c>
      <x:c r="I238" s="2" t="n">
        <x:f>'Daily inputs'!I238</x:f>
        <x:v>0</x:v>
      </x:c>
      <x:c r="J238" s="2" t="n">
        <x:f>'Daily inputs'!J238</x:f>
        <x:v>0</x:v>
      </x:c>
      <x:c r="K238" s="2" t="n">
        <x:f>'Daily inputs'!K238</x:f>
        <x:v>0</x:v>
      </x:c>
      <x:c r="L238" s="2" t="n">
        <x:f>MIN(F238,G238+H238-I238)</x:f>
        <x:v>31</x:v>
      </x:c>
      <x:c r="M238" s="2" t="n">
        <x:f>G238+H238-L238-I238</x:f>
        <x:v>5</x:v>
      </x:c>
      <x:c r="N238" s="2" t="n">
        <x:f>F238-L238</x:f>
        <x:v>0</x:v>
      </x:c>
      <x:c r="O238" s="2" t="n">
        <x:f>N238-J238</x:f>
        <x:v>0</x:v>
      </x:c>
      <x:c r="P238" s="2" t="n">
        <x:f>L238+I238</x:f>
        <x:v>31</x:v>
      </x:c>
      <x:c r="Q238" s="8" t="n">
        <x:f>P238*E238</x:f>
        <x:v>232.5</x:v>
      </x:c>
      <x:c r="R238" s="8" t="n">
        <x:f>I238*E238</x:f>
        <x:v>0</x:v>
      </x:c>
      <x:c r="S238" s="8" t="n">
        <x:f>O238*E238</x:f>
        <x:v>0</x:v>
      </x:c>
      <x:c r="T238" s="2" t="n">
        <x:f>IF(A238&lt;DATE(2025,12,1),"",IF(D238="Closed",0,ROUND(AVERAGEIFS('Daily inputs'!$F$2:$F$367,'Daily inputs'!$B$2:$B$367,B238,'Daily inputs'!$C$2:$C$367,C238,'Daily inputs'!$D$2:$D$367,"Training"),0)))</x:f>
        <x:v>32</x:v>
      </x:c>
      <x:c r="U238" s="2" t="n">
        <x:f>IF(A238&lt;DATE(2025,12,1),"",ROUND(T238*IF(D238="Christmas",Notes!$B$9,Notes!$B$8),0))</x:f>
        <x:v>33</x:v>
      </x:c>
      <x:c r="V238" s="2" t="n">
        <x:f>IF(A238&lt;DATE(2025,12,1),"",ABS(T238-F238))</x:f>
        <x:v>1</x:v>
      </x:c>
      <x:c r="W238" s="2" t="n">
        <x:f>IF(A238&lt;DATE(2025,12,1),"",ABS(U238-F238))</x:f>
        <x:v>2</x:v>
      </x:c>
      <x:c r="X238" s="2" t="n">
        <x:f>IF(A238&lt;DATE(2025,12,1),"",T238-F238)</x:f>
        <x:v>1</x:v>
      </x:c>
      <x:c r="Y238" s="2" t="n">
        <x:f>IF(A238&lt;DATE(2025,12,1),"",U238-F238)</x:f>
        <x:v>2</x:v>
      </x:c>
      <x:c r="Z238" s="2" t="n">
        <x:f>IF(N238&gt;0,1,0)</x:f>
        <x:v>0</x:v>
      </x:c>
    </x:row>
    <x:row r="239" ht="21" customHeight="1">
      <x:c r="A239" s="6" t="n">
        <x:f>'Daily inputs'!A239</x:f>
        <x:v>46001</x:v>
      </x:c>
      <x:c r="B239" s="2" t="str">
        <x:f>'Daily inputs'!B239</x:f>
        <x:v>I04</x:v>
      </x:c>
      <x:c r="C239" s="2" t="n">
        <x:f>'Daily inputs'!C239</x:f>
        <x:v>3</x:v>
      </x:c>
      <x:c r="D239" s="2" t="str">
        <x:f>'Daily inputs'!D239</x:f>
        <x:v>December normal</x:v>
      </x:c>
      <x:c r="E239" s="7" t="n">
        <x:f>'Daily inputs'!E239</x:f>
        <x:v>9</x:v>
      </x:c>
      <x:c r="F239" s="2" t="n">
        <x:f>'Daily inputs'!F239</x:f>
        <x:v>39</x:v>
      </x:c>
      <x:c r="G239" s="2" t="n">
        <x:f>'Daily inputs'!G239</x:f>
        <x:v>6</x:v>
      </x:c>
      <x:c r="H239" s="2" t="n">
        <x:f>'Daily inputs'!H239</x:f>
        <x:v>39</x:v>
      </x:c>
      <x:c r="I239" s="2" t="n">
        <x:f>'Daily inputs'!I239</x:f>
        <x:v>0</x:v>
      </x:c>
      <x:c r="J239" s="2" t="n">
        <x:f>'Daily inputs'!J239</x:f>
        <x:v>0</x:v>
      </x:c>
      <x:c r="K239" s="2" t="n">
        <x:f>'Daily inputs'!K239</x:f>
        <x:v>0</x:v>
      </x:c>
      <x:c r="L239" s="2" t="n">
        <x:f>MIN(F239,G239+H239-I239)</x:f>
        <x:v>39</x:v>
      </x:c>
      <x:c r="M239" s="2" t="n">
        <x:f>G239+H239-L239-I239</x:f>
        <x:v>6</x:v>
      </x:c>
      <x:c r="N239" s="2" t="n">
        <x:f>F239-L239</x:f>
        <x:v>0</x:v>
      </x:c>
      <x:c r="O239" s="2" t="n">
        <x:f>N239-J239</x:f>
        <x:v>0</x:v>
      </x:c>
      <x:c r="P239" s="2" t="n">
        <x:f>L239+I239</x:f>
        <x:v>39</x:v>
      </x:c>
      <x:c r="Q239" s="8" t="n">
        <x:f>P239*E239</x:f>
        <x:v>351</x:v>
      </x:c>
      <x:c r="R239" s="8" t="n">
        <x:f>I239*E239</x:f>
        <x:v>0</x:v>
      </x:c>
      <x:c r="S239" s="8" t="n">
        <x:f>O239*E239</x:f>
        <x:v>0</x:v>
      </x:c>
      <x:c r="T239" s="2" t="n">
        <x:f>IF(A239&lt;DATE(2025,12,1),"",IF(D239="Closed",0,ROUND(AVERAGEIFS('Daily inputs'!$F$2:$F$367,'Daily inputs'!$B$2:$B$367,B239,'Daily inputs'!$C$2:$C$367,C239,'Daily inputs'!$D$2:$D$367,"Training"),0)))</x:f>
        <x:v>37</x:v>
      </x:c>
      <x:c r="U239" s="2" t="n">
        <x:f>IF(A239&lt;DATE(2025,12,1),"",ROUND(T239*IF(D239="Christmas",Notes!$B$9,Notes!$B$8),0))</x:f>
        <x:v>38</x:v>
      </x:c>
      <x:c r="V239" s="2" t="n">
        <x:f>IF(A239&lt;DATE(2025,12,1),"",ABS(T239-F239))</x:f>
        <x:v>2</x:v>
      </x:c>
      <x:c r="W239" s="2" t="n">
        <x:f>IF(A239&lt;DATE(2025,12,1),"",ABS(U239-F239))</x:f>
        <x:v>1</x:v>
      </x:c>
      <x:c r="X239" s="2" t="n">
        <x:f>IF(A239&lt;DATE(2025,12,1),"",T239-F239)</x:f>
        <x:v>-2</x:v>
      </x:c>
      <x:c r="Y239" s="2" t="n">
        <x:f>IF(A239&lt;DATE(2025,12,1),"",U239-F239)</x:f>
        <x:v>-1</x:v>
      </x:c>
      <x:c r="Z239" s="2" t="n">
        <x:f>IF(N239&gt;0,1,0)</x:f>
        <x:v>0</x:v>
      </x:c>
    </x:row>
    <x:row r="240" ht="21" customHeight="1">
      <x:c r="A240" s="6" t="n">
        <x:f>'Daily inputs'!A240</x:f>
        <x:v>46001</x:v>
      </x:c>
      <x:c r="B240" s="2" t="str">
        <x:f>'Daily inputs'!B240</x:f>
        <x:v>I05</x:v>
      </x:c>
      <x:c r="C240" s="2" t="n">
        <x:f>'Daily inputs'!C240</x:f>
        <x:v>3</x:v>
      </x:c>
      <x:c r="D240" s="2" t="str">
        <x:f>'Daily inputs'!D240</x:f>
        <x:v>December normal</x:v>
      </x:c>
      <x:c r="E240" s="7" t="n">
        <x:f>'Daily inputs'!E240</x:f>
        <x:v>3.5</x:v>
      </x:c>
      <x:c r="F240" s="2" t="n">
        <x:f>'Daily inputs'!F240</x:f>
        <x:v>80</x:v>
      </x:c>
      <x:c r="G240" s="2" t="n">
        <x:f>'Daily inputs'!G240</x:f>
        <x:v>12</x:v>
      </x:c>
      <x:c r="H240" s="2" t="n">
        <x:f>'Daily inputs'!H240</x:f>
        <x:v>80</x:v>
      </x:c>
      <x:c r="I240" s="2" t="n">
        <x:f>'Daily inputs'!I240</x:f>
        <x:v>0</x:v>
      </x:c>
      <x:c r="J240" s="2" t="n">
        <x:f>'Daily inputs'!J240</x:f>
        <x:v>0</x:v>
      </x:c>
      <x:c r="K240" s="2" t="n">
        <x:f>'Daily inputs'!K240</x:f>
        <x:v>0</x:v>
      </x:c>
      <x:c r="L240" s="2" t="n">
        <x:f>MIN(F240,G240+H240-I240)</x:f>
        <x:v>80</x:v>
      </x:c>
      <x:c r="M240" s="2" t="n">
        <x:f>G240+H240-L240-I240</x:f>
        <x:v>12</x:v>
      </x:c>
      <x:c r="N240" s="2" t="n">
        <x:f>F240-L240</x:f>
        <x:v>0</x:v>
      </x:c>
      <x:c r="O240" s="2" t="n">
        <x:f>N240-J240</x:f>
        <x:v>0</x:v>
      </x:c>
      <x:c r="P240" s="2" t="n">
        <x:f>L240+I240</x:f>
        <x:v>80</x:v>
      </x:c>
      <x:c r="Q240" s="8" t="n">
        <x:f>P240*E240</x:f>
        <x:v>280</x:v>
      </x:c>
      <x:c r="R240" s="8" t="n">
        <x:f>I240*E240</x:f>
        <x:v>0</x:v>
      </x:c>
      <x:c r="S240" s="8" t="n">
        <x:f>O240*E240</x:f>
        <x:v>0</x:v>
      </x:c>
      <x:c r="T240" s="2" t="n">
        <x:f>IF(A240&lt;DATE(2025,12,1),"",IF(D240="Closed",0,ROUND(AVERAGEIFS('Daily inputs'!$F$2:$F$367,'Daily inputs'!$B$2:$B$367,B240,'Daily inputs'!$C$2:$C$367,C240,'Daily inputs'!$D$2:$D$367,"Training"),0)))</x:f>
        <x:v>76</x:v>
      </x:c>
      <x:c r="U240" s="2" t="n">
        <x:f>IF(A240&lt;DATE(2025,12,1),"",ROUND(T240*IF(D240="Christmas",Notes!$B$9,Notes!$B$8),0))</x:f>
        <x:v>79</x:v>
      </x:c>
      <x:c r="V240" s="2" t="n">
        <x:f>IF(A240&lt;DATE(2025,12,1),"",ABS(T240-F240))</x:f>
        <x:v>4</x:v>
      </x:c>
      <x:c r="W240" s="2" t="n">
        <x:f>IF(A240&lt;DATE(2025,12,1),"",ABS(U240-F240))</x:f>
        <x:v>1</x:v>
      </x:c>
      <x:c r="X240" s="2" t="n">
        <x:f>IF(A240&lt;DATE(2025,12,1),"",T240-F240)</x:f>
        <x:v>-4</x:v>
      </x:c>
      <x:c r="Y240" s="2" t="n">
        <x:f>IF(A240&lt;DATE(2025,12,1),"",U240-F240)</x:f>
        <x:v>-1</x:v>
      </x:c>
      <x:c r="Z240" s="2" t="n">
        <x:f>IF(N240&gt;0,1,0)</x:f>
        <x:v>0</x:v>
      </x:c>
    </x:row>
    <x:row r="241" ht="21" customHeight="1">
      <x:c r="A241" s="6" t="n">
        <x:f>'Daily inputs'!A241</x:f>
        <x:v>46001</x:v>
      </x:c>
      <x:c r="B241" s="2" t="str">
        <x:f>'Daily inputs'!B241</x:f>
        <x:v>I06</x:v>
      </x:c>
      <x:c r="C241" s="2" t="n">
        <x:f>'Daily inputs'!C241</x:f>
        <x:v>3</x:v>
      </x:c>
      <x:c r="D241" s="2" t="str">
        <x:f>'Daily inputs'!D241</x:f>
        <x:v>December normal</x:v>
      </x:c>
      <x:c r="E241" s="7" t="n">
        <x:f>'Daily inputs'!E241</x:f>
        <x:v>3</x:v>
      </x:c>
      <x:c r="F241" s="2" t="n">
        <x:f>'Daily inputs'!F241</x:f>
        <x:v>29</x:v>
      </x:c>
      <x:c r="G241" s="2" t="n">
        <x:f>'Daily inputs'!G241</x:f>
        <x:v>5</x:v>
      </x:c>
      <x:c r="H241" s="2" t="n">
        <x:f>'Daily inputs'!H241</x:f>
        <x:v>28</x:v>
      </x:c>
      <x:c r="I241" s="2" t="n">
        <x:f>'Daily inputs'!I241</x:f>
        <x:v>0</x:v>
      </x:c>
      <x:c r="J241" s="2" t="n">
        <x:f>'Daily inputs'!J241</x:f>
        <x:v>0</x:v>
      </x:c>
      <x:c r="K241" s="2" t="n">
        <x:f>'Daily inputs'!K241</x:f>
        <x:v>0</x:v>
      </x:c>
      <x:c r="L241" s="2" t="n">
        <x:f>MIN(F241,G241+H241-I241)</x:f>
        <x:v>29</x:v>
      </x:c>
      <x:c r="M241" s="2" t="n">
        <x:f>G241+H241-L241-I241</x:f>
        <x:v>4</x:v>
      </x:c>
      <x:c r="N241" s="2" t="n">
        <x:f>F241-L241</x:f>
        <x:v>0</x:v>
      </x:c>
      <x:c r="O241" s="2" t="n">
        <x:f>N241-J241</x:f>
        <x:v>0</x:v>
      </x:c>
      <x:c r="P241" s="2" t="n">
        <x:f>L241+I241</x:f>
        <x:v>29</x:v>
      </x:c>
      <x:c r="Q241" s="8" t="n">
        <x:f>P241*E241</x:f>
        <x:v>87</x:v>
      </x:c>
      <x:c r="R241" s="8" t="n">
        <x:f>I241*E241</x:f>
        <x:v>0</x:v>
      </x:c>
      <x:c r="S241" s="8" t="n">
        <x:f>O241*E241</x:f>
        <x:v>0</x:v>
      </x:c>
      <x:c r="T241" s="2" t="n">
        <x:f>IF(A241&lt;DATE(2025,12,1),"",IF(D241="Closed",0,ROUND(AVERAGEIFS('Daily inputs'!$F$2:$F$367,'Daily inputs'!$B$2:$B$367,B241,'Daily inputs'!$C$2:$C$367,C241,'Daily inputs'!$D$2:$D$367,"Training"),0)))</x:f>
        <x:v>29</x:v>
      </x:c>
      <x:c r="U241" s="2" t="n">
        <x:f>IF(A241&lt;DATE(2025,12,1),"",ROUND(T241*IF(D241="Christmas",Notes!$B$9,Notes!$B$8),0))</x:f>
        <x:v>30</x:v>
      </x:c>
      <x:c r="V241" s="2" t="n">
        <x:f>IF(A241&lt;DATE(2025,12,1),"",ABS(T241-F241))</x:f>
        <x:v>0</x:v>
      </x:c>
      <x:c r="W241" s="2" t="n">
        <x:f>IF(A241&lt;DATE(2025,12,1),"",ABS(U241-F241))</x:f>
        <x:v>1</x:v>
      </x:c>
      <x:c r="X241" s="2" t="n">
        <x:f>IF(A241&lt;DATE(2025,12,1),"",T241-F241)</x:f>
        <x:v>0</x:v>
      </x:c>
      <x:c r="Y241" s="2" t="n">
        <x:f>IF(A241&lt;DATE(2025,12,1),"",U241-F241)</x:f>
        <x:v>1</x:v>
      </x:c>
      <x:c r="Z241" s="2" t="n">
        <x:f>IF(N241&gt;0,1,0)</x:f>
        <x:v>0</x:v>
      </x:c>
    </x:row>
    <x:row r="242" ht="21" customHeight="1">
      <x:c r="A242" s="6" t="n">
        <x:f>'Daily inputs'!A242</x:f>
        <x:v>46002</x:v>
      </x:c>
      <x:c r="B242" s="2" t="str">
        <x:f>'Daily inputs'!B242</x:f>
        <x:v>I01</x:v>
      </x:c>
      <x:c r="C242" s="2" t="n">
        <x:f>'Daily inputs'!C242</x:f>
        <x:v>4</x:v>
      </x:c>
      <x:c r="D242" s="2" t="str">
        <x:f>'Daily inputs'!D242</x:f>
        <x:v>December normal</x:v>
      </x:c>
      <x:c r="E242" s="7" t="n">
        <x:f>'Daily inputs'!E242</x:f>
        <x:v>8.5</x:v>
      </x:c>
      <x:c r="F242" s="2" t="n">
        <x:f>'Daily inputs'!F242</x:f>
        <x:v>71</x:v>
      </x:c>
      <x:c r="G242" s="2" t="n">
        <x:f>'Daily inputs'!G242</x:f>
        <x:v>11</x:v>
      </x:c>
      <x:c r="H242" s="2" t="n">
        <x:f>'Daily inputs'!H242</x:f>
        <x:v>71</x:v>
      </x:c>
      <x:c r="I242" s="2" t="n">
        <x:f>'Daily inputs'!I242</x:f>
        <x:v>0</x:v>
      </x:c>
      <x:c r="J242" s="2" t="n">
        <x:f>'Daily inputs'!J242</x:f>
        <x:v>0</x:v>
      </x:c>
      <x:c r="K242" s="2" t="n">
        <x:f>'Daily inputs'!K242</x:f>
        <x:v>0</x:v>
      </x:c>
      <x:c r="L242" s="2" t="n">
        <x:f>MIN(F242,G242+H242-I242)</x:f>
        <x:v>71</x:v>
      </x:c>
      <x:c r="M242" s="2" t="n">
        <x:f>G242+H242-L242-I242</x:f>
        <x:v>11</x:v>
      </x:c>
      <x:c r="N242" s="2" t="n">
        <x:f>F242-L242</x:f>
        <x:v>0</x:v>
      </x:c>
      <x:c r="O242" s="2" t="n">
        <x:f>N242-J242</x:f>
        <x:v>0</x:v>
      </x:c>
      <x:c r="P242" s="2" t="n">
        <x:f>L242+I242</x:f>
        <x:v>71</x:v>
      </x:c>
      <x:c r="Q242" s="8" t="n">
        <x:f>P242*E242</x:f>
        <x:v>603.5</x:v>
      </x:c>
      <x:c r="R242" s="8" t="n">
        <x:f>I242*E242</x:f>
        <x:v>0</x:v>
      </x:c>
      <x:c r="S242" s="8" t="n">
        <x:f>O242*E242</x:f>
        <x:v>0</x:v>
      </x:c>
      <x:c r="T242" s="2" t="n">
        <x:f>IF(A242&lt;DATE(2025,12,1),"",IF(D242="Closed",0,ROUND(AVERAGEIFS('Daily inputs'!$F$2:$F$367,'Daily inputs'!$B$2:$B$367,B242,'Daily inputs'!$C$2:$C$367,C242,'Daily inputs'!$D$2:$D$367,"Training"),0)))</x:f>
        <x:v>70</x:v>
      </x:c>
      <x:c r="U242" s="2" t="n">
        <x:f>IF(A242&lt;DATE(2025,12,1),"",ROUND(T242*IF(D242="Christmas",Notes!$B$9,Notes!$B$8),0))</x:f>
        <x:v>73</x:v>
      </x:c>
      <x:c r="V242" s="2" t="n">
        <x:f>IF(A242&lt;DATE(2025,12,1),"",ABS(T242-F242))</x:f>
        <x:v>1</x:v>
      </x:c>
      <x:c r="W242" s="2" t="n">
        <x:f>IF(A242&lt;DATE(2025,12,1),"",ABS(U242-F242))</x:f>
        <x:v>2</x:v>
      </x:c>
      <x:c r="X242" s="2" t="n">
        <x:f>IF(A242&lt;DATE(2025,12,1),"",T242-F242)</x:f>
        <x:v>-1</x:v>
      </x:c>
      <x:c r="Y242" s="2" t="n">
        <x:f>IF(A242&lt;DATE(2025,12,1),"",U242-F242)</x:f>
        <x:v>2</x:v>
      </x:c>
      <x:c r="Z242" s="2" t="n">
        <x:f>IF(N242&gt;0,1,0)</x:f>
        <x:v>0</x:v>
      </x:c>
    </x:row>
    <x:row r="243" ht="21" customHeight="1">
      <x:c r="A243" s="6" t="n">
        <x:f>'Daily inputs'!A243</x:f>
        <x:v>46002</x:v>
      </x:c>
      <x:c r="B243" s="2" t="str">
        <x:f>'Daily inputs'!B243</x:f>
        <x:v>I02</x:v>
      </x:c>
      <x:c r="C243" s="2" t="n">
        <x:f>'Daily inputs'!C243</x:f>
        <x:v>4</x:v>
      </x:c>
      <x:c r="D243" s="2" t="str">
        <x:f>'Daily inputs'!D243</x:f>
        <x:v>December normal</x:v>
      </x:c>
      <x:c r="E243" s="7" t="n">
        <x:f>'Daily inputs'!E243</x:f>
        <x:v>8</x:v>
      </x:c>
      <x:c r="F243" s="2" t="n">
        <x:f>'Daily inputs'!F243</x:f>
        <x:v>61</x:v>
      </x:c>
      <x:c r="G243" s="2" t="n">
        <x:f>'Daily inputs'!G243</x:f>
        <x:v>8</x:v>
      </x:c>
      <x:c r="H243" s="2" t="n">
        <x:f>'Daily inputs'!H243</x:f>
        <x:v>62</x:v>
      </x:c>
      <x:c r="I243" s="2" t="n">
        <x:f>'Daily inputs'!I243</x:f>
        <x:v>0</x:v>
      </x:c>
      <x:c r="J243" s="2" t="n">
        <x:f>'Daily inputs'!J243</x:f>
        <x:v>0</x:v>
      </x:c>
      <x:c r="K243" s="2" t="n">
        <x:f>'Daily inputs'!K243</x:f>
        <x:v>0</x:v>
      </x:c>
      <x:c r="L243" s="2" t="n">
        <x:f>MIN(F243,G243+H243-I243)</x:f>
        <x:v>61</x:v>
      </x:c>
      <x:c r="M243" s="2" t="n">
        <x:f>G243+H243-L243-I243</x:f>
        <x:v>9</x:v>
      </x:c>
      <x:c r="N243" s="2" t="n">
        <x:f>F243-L243</x:f>
        <x:v>0</x:v>
      </x:c>
      <x:c r="O243" s="2" t="n">
        <x:f>N243-J243</x:f>
        <x:v>0</x:v>
      </x:c>
      <x:c r="P243" s="2" t="n">
        <x:f>L243+I243</x:f>
        <x:v>61</x:v>
      </x:c>
      <x:c r="Q243" s="8" t="n">
        <x:f>P243*E243</x:f>
        <x:v>488</x:v>
      </x:c>
      <x:c r="R243" s="8" t="n">
        <x:f>I243*E243</x:f>
        <x:v>0</x:v>
      </x:c>
      <x:c r="S243" s="8" t="n">
        <x:f>O243*E243</x:f>
        <x:v>0</x:v>
      </x:c>
      <x:c r="T243" s="2" t="n">
        <x:f>IF(A243&lt;DATE(2025,12,1),"",IF(D243="Closed",0,ROUND(AVERAGEIFS('Daily inputs'!$F$2:$F$367,'Daily inputs'!$B$2:$B$367,B243,'Daily inputs'!$C$2:$C$367,C243,'Daily inputs'!$D$2:$D$367,"Training"),0)))</x:f>
        <x:v>59</x:v>
      </x:c>
      <x:c r="U243" s="2" t="n">
        <x:f>IF(A243&lt;DATE(2025,12,1),"",ROUND(T243*IF(D243="Christmas",Notes!$B$9,Notes!$B$8),0))</x:f>
        <x:v>61</x:v>
      </x:c>
      <x:c r="V243" s="2" t="n">
        <x:f>IF(A243&lt;DATE(2025,12,1),"",ABS(T243-F243))</x:f>
        <x:v>2</x:v>
      </x:c>
      <x:c r="W243" s="2" t="n">
        <x:f>IF(A243&lt;DATE(2025,12,1),"",ABS(U243-F243))</x:f>
        <x:v>0</x:v>
      </x:c>
      <x:c r="X243" s="2" t="n">
        <x:f>IF(A243&lt;DATE(2025,12,1),"",T243-F243)</x:f>
        <x:v>-2</x:v>
      </x:c>
      <x:c r="Y243" s="2" t="n">
        <x:f>IF(A243&lt;DATE(2025,12,1),"",U243-F243)</x:f>
        <x:v>0</x:v>
      </x:c>
      <x:c r="Z243" s="2" t="n">
        <x:f>IF(N243&gt;0,1,0)</x:f>
        <x:v>0</x:v>
      </x:c>
    </x:row>
    <x:row r="244" ht="21" customHeight="1">
      <x:c r="A244" s="6" t="n">
        <x:f>'Daily inputs'!A244</x:f>
        <x:v>46002</x:v>
      </x:c>
      <x:c r="B244" s="2" t="str">
        <x:f>'Daily inputs'!B244</x:f>
        <x:v>I03</x:v>
      </x:c>
      <x:c r="C244" s="2" t="n">
        <x:f>'Daily inputs'!C244</x:f>
        <x:v>4</x:v>
      </x:c>
      <x:c r="D244" s="2" t="str">
        <x:f>'Daily inputs'!D244</x:f>
        <x:v>December normal</x:v>
      </x:c>
      <x:c r="E244" s="7" t="n">
        <x:f>'Daily inputs'!E244</x:f>
        <x:v>7.5</x:v>
      </x:c>
      <x:c r="F244" s="2" t="n">
        <x:f>'Daily inputs'!F244</x:f>
        <x:v>37</x:v>
      </x:c>
      <x:c r="G244" s="2" t="n">
        <x:f>'Daily inputs'!G244</x:f>
        <x:v>5</x:v>
      </x:c>
      <x:c r="H244" s="2" t="n">
        <x:f>'Daily inputs'!H244</x:f>
        <x:v>38</x:v>
      </x:c>
      <x:c r="I244" s="2" t="n">
        <x:f>'Daily inputs'!I244</x:f>
        <x:v>0</x:v>
      </x:c>
      <x:c r="J244" s="2" t="n">
        <x:f>'Daily inputs'!J244</x:f>
        <x:v>0</x:v>
      </x:c>
      <x:c r="K244" s="2" t="n">
        <x:f>'Daily inputs'!K244</x:f>
        <x:v>0</x:v>
      </x:c>
      <x:c r="L244" s="2" t="n">
        <x:f>MIN(F244,G244+H244-I244)</x:f>
        <x:v>37</x:v>
      </x:c>
      <x:c r="M244" s="2" t="n">
        <x:f>G244+H244-L244-I244</x:f>
        <x:v>6</x:v>
      </x:c>
      <x:c r="N244" s="2" t="n">
        <x:f>F244-L244</x:f>
        <x:v>0</x:v>
      </x:c>
      <x:c r="O244" s="2" t="n">
        <x:f>N244-J244</x:f>
        <x:v>0</x:v>
      </x:c>
      <x:c r="P244" s="2" t="n">
        <x:f>L244+I244</x:f>
        <x:v>37</x:v>
      </x:c>
      <x:c r="Q244" s="8" t="n">
        <x:f>P244*E244</x:f>
        <x:v>277.5</x:v>
      </x:c>
      <x:c r="R244" s="8" t="n">
        <x:f>I244*E244</x:f>
        <x:v>0</x:v>
      </x:c>
      <x:c r="S244" s="8" t="n">
        <x:f>O244*E244</x:f>
        <x:v>0</x:v>
      </x:c>
      <x:c r="T244" s="2" t="n">
        <x:f>IF(A244&lt;DATE(2025,12,1),"",IF(D244="Closed",0,ROUND(AVERAGEIFS('Daily inputs'!$F$2:$F$367,'Daily inputs'!$B$2:$B$367,B244,'Daily inputs'!$C$2:$C$367,C244,'Daily inputs'!$D$2:$D$367,"Training"),0)))</x:f>
        <x:v>34</x:v>
      </x:c>
      <x:c r="U244" s="2" t="n">
        <x:f>IF(A244&lt;DATE(2025,12,1),"",ROUND(T244*IF(D244="Christmas",Notes!$B$9,Notes!$B$8),0))</x:f>
        <x:v>35</x:v>
      </x:c>
      <x:c r="V244" s="2" t="n">
        <x:f>IF(A244&lt;DATE(2025,12,1),"",ABS(T244-F244))</x:f>
        <x:v>3</x:v>
      </x:c>
      <x:c r="W244" s="2" t="n">
        <x:f>IF(A244&lt;DATE(2025,12,1),"",ABS(U244-F244))</x:f>
        <x:v>2</x:v>
      </x:c>
      <x:c r="X244" s="2" t="n">
        <x:f>IF(A244&lt;DATE(2025,12,1),"",T244-F244)</x:f>
        <x:v>-3</x:v>
      </x:c>
      <x:c r="Y244" s="2" t="n">
        <x:f>IF(A244&lt;DATE(2025,12,1),"",U244-F244)</x:f>
        <x:v>-2</x:v>
      </x:c>
      <x:c r="Z244" s="2" t="n">
        <x:f>IF(N244&gt;0,1,0)</x:f>
        <x:v>0</x:v>
      </x:c>
    </x:row>
    <x:row r="245" ht="21" customHeight="1">
      <x:c r="A245" s="6" t="n">
        <x:f>'Daily inputs'!A245</x:f>
        <x:v>46002</x:v>
      </x:c>
      <x:c r="B245" s="2" t="str">
        <x:f>'Daily inputs'!B245</x:f>
        <x:v>I04</x:v>
      </x:c>
      <x:c r="C245" s="2" t="n">
        <x:f>'Daily inputs'!C245</x:f>
        <x:v>4</x:v>
      </x:c>
      <x:c r="D245" s="2" t="str">
        <x:f>'Daily inputs'!D245</x:f>
        <x:v>December normal</x:v>
      </x:c>
      <x:c r="E245" s="7" t="n">
        <x:f>'Daily inputs'!E245</x:f>
        <x:v>9</x:v>
      </x:c>
      <x:c r="F245" s="2" t="n">
        <x:f>'Daily inputs'!F245</x:f>
        <x:v>42</x:v>
      </x:c>
      <x:c r="G245" s="2" t="n">
        <x:f>'Daily inputs'!G245</x:f>
        <x:v>6</x:v>
      </x:c>
      <x:c r="H245" s="2" t="n">
        <x:f>'Daily inputs'!H245</x:f>
        <x:v>42</x:v>
      </x:c>
      <x:c r="I245" s="2" t="n">
        <x:f>'Daily inputs'!I245</x:f>
        <x:v>0</x:v>
      </x:c>
      <x:c r="J245" s="2" t="n">
        <x:f>'Daily inputs'!J245</x:f>
        <x:v>0</x:v>
      </x:c>
      <x:c r="K245" s="2" t="n">
        <x:f>'Daily inputs'!K245</x:f>
        <x:v>0</x:v>
      </x:c>
      <x:c r="L245" s="2" t="n">
        <x:f>MIN(F245,G245+H245-I245)</x:f>
        <x:v>42</x:v>
      </x:c>
      <x:c r="M245" s="2" t="n">
        <x:f>G245+H245-L245-I245</x:f>
        <x:v>6</x:v>
      </x:c>
      <x:c r="N245" s="2" t="n">
        <x:f>F245-L245</x:f>
        <x:v>0</x:v>
      </x:c>
      <x:c r="O245" s="2" t="n">
        <x:f>N245-J245</x:f>
        <x:v>0</x:v>
      </x:c>
      <x:c r="P245" s="2" t="n">
        <x:f>L245+I245</x:f>
        <x:v>42</x:v>
      </x:c>
      <x:c r="Q245" s="8" t="n">
        <x:f>P245*E245</x:f>
        <x:v>378</x:v>
      </x:c>
      <x:c r="R245" s="8" t="n">
        <x:f>I245*E245</x:f>
        <x:v>0</x:v>
      </x:c>
      <x:c r="S245" s="8" t="n">
        <x:f>O245*E245</x:f>
        <x:v>0</x:v>
      </x:c>
      <x:c r="T245" s="2" t="n">
        <x:f>IF(A245&lt;DATE(2025,12,1),"",IF(D245="Closed",0,ROUND(AVERAGEIFS('Daily inputs'!$F$2:$F$367,'Daily inputs'!$B$2:$B$367,B245,'Daily inputs'!$C$2:$C$367,C245,'Daily inputs'!$D$2:$D$367,"Training"),0)))</x:f>
        <x:v>40</x:v>
      </x:c>
      <x:c r="U245" s="2" t="n">
        <x:f>IF(A245&lt;DATE(2025,12,1),"",ROUND(T245*IF(D245="Christmas",Notes!$B$9,Notes!$B$8),0))</x:f>
        <x:v>42</x:v>
      </x:c>
      <x:c r="V245" s="2" t="n">
        <x:f>IF(A245&lt;DATE(2025,12,1),"",ABS(T245-F245))</x:f>
        <x:v>2</x:v>
      </x:c>
      <x:c r="W245" s="2" t="n">
        <x:f>IF(A245&lt;DATE(2025,12,1),"",ABS(U245-F245))</x:f>
        <x:v>0</x:v>
      </x:c>
      <x:c r="X245" s="2" t="n">
        <x:f>IF(A245&lt;DATE(2025,12,1),"",T245-F245)</x:f>
        <x:v>-2</x:v>
      </x:c>
      <x:c r="Y245" s="2" t="n">
        <x:f>IF(A245&lt;DATE(2025,12,1),"",U245-F245)</x:f>
        <x:v>0</x:v>
      </x:c>
      <x:c r="Z245" s="2" t="n">
        <x:f>IF(N245&gt;0,1,0)</x:f>
        <x:v>0</x:v>
      </x:c>
    </x:row>
    <x:row r="246" ht="21" customHeight="1">
      <x:c r="A246" s="6" t="n">
        <x:f>'Daily inputs'!A246</x:f>
        <x:v>46002</x:v>
      </x:c>
      <x:c r="B246" s="2" t="str">
        <x:f>'Daily inputs'!B246</x:f>
        <x:v>I05</x:v>
      </x:c>
      <x:c r="C246" s="2" t="n">
        <x:f>'Daily inputs'!C246</x:f>
        <x:v>4</x:v>
      </x:c>
      <x:c r="D246" s="2" t="str">
        <x:f>'Daily inputs'!D246</x:f>
        <x:v>December normal</x:v>
      </x:c>
      <x:c r="E246" s="7" t="n">
        <x:f>'Daily inputs'!E246</x:f>
        <x:v>3.5</x:v>
      </x:c>
      <x:c r="F246" s="2" t="n">
        <x:f>'Daily inputs'!F246</x:f>
        <x:v>83</x:v>
      </x:c>
      <x:c r="G246" s="2" t="n">
        <x:f>'Daily inputs'!G246</x:f>
        <x:v>12</x:v>
      </x:c>
      <x:c r="H246" s="2" t="n">
        <x:f>'Daily inputs'!H246</x:f>
        <x:v>83</x:v>
      </x:c>
      <x:c r="I246" s="2" t="n">
        <x:f>'Daily inputs'!I246</x:f>
        <x:v>0</x:v>
      </x:c>
      <x:c r="J246" s="2" t="n">
        <x:f>'Daily inputs'!J246</x:f>
        <x:v>0</x:v>
      </x:c>
      <x:c r="K246" s="2" t="n">
        <x:f>'Daily inputs'!K246</x:f>
        <x:v>0</x:v>
      </x:c>
      <x:c r="L246" s="2" t="n">
        <x:f>MIN(F246,G246+H246-I246)</x:f>
        <x:v>83</x:v>
      </x:c>
      <x:c r="M246" s="2" t="n">
        <x:f>G246+H246-L246-I246</x:f>
        <x:v>12</x:v>
      </x:c>
      <x:c r="N246" s="2" t="n">
        <x:f>F246-L246</x:f>
        <x:v>0</x:v>
      </x:c>
      <x:c r="O246" s="2" t="n">
        <x:f>N246-J246</x:f>
        <x:v>0</x:v>
      </x:c>
      <x:c r="P246" s="2" t="n">
        <x:f>L246+I246</x:f>
        <x:v>83</x:v>
      </x:c>
      <x:c r="Q246" s="8" t="n">
        <x:f>P246*E246</x:f>
        <x:v>290.5</x:v>
      </x:c>
      <x:c r="R246" s="8" t="n">
        <x:f>I246*E246</x:f>
        <x:v>0</x:v>
      </x:c>
      <x:c r="S246" s="8" t="n">
        <x:f>O246*E246</x:f>
        <x:v>0</x:v>
      </x:c>
      <x:c r="T246" s="2" t="n">
        <x:f>IF(A246&lt;DATE(2025,12,1),"",IF(D246="Closed",0,ROUND(AVERAGEIFS('Daily inputs'!$F$2:$F$367,'Daily inputs'!$B$2:$B$367,B246,'Daily inputs'!$C$2:$C$367,C246,'Daily inputs'!$D$2:$D$367,"Training"),0)))</x:f>
        <x:v>84</x:v>
      </x:c>
      <x:c r="U246" s="2" t="n">
        <x:f>IF(A246&lt;DATE(2025,12,1),"",ROUND(T246*IF(D246="Christmas",Notes!$B$9,Notes!$B$8),0))</x:f>
        <x:v>87</x:v>
      </x:c>
      <x:c r="V246" s="2" t="n">
        <x:f>IF(A246&lt;DATE(2025,12,1),"",ABS(T246-F246))</x:f>
        <x:v>1</x:v>
      </x:c>
      <x:c r="W246" s="2" t="n">
        <x:f>IF(A246&lt;DATE(2025,12,1),"",ABS(U246-F246))</x:f>
        <x:v>4</x:v>
      </x:c>
      <x:c r="X246" s="2" t="n">
        <x:f>IF(A246&lt;DATE(2025,12,1),"",T246-F246)</x:f>
        <x:v>1</x:v>
      </x:c>
      <x:c r="Y246" s="2" t="n">
        <x:f>IF(A246&lt;DATE(2025,12,1),"",U246-F246)</x:f>
        <x:v>4</x:v>
      </x:c>
      <x:c r="Z246" s="2" t="n">
        <x:f>IF(N246&gt;0,1,0)</x:f>
        <x:v>0</x:v>
      </x:c>
    </x:row>
    <x:row r="247" ht="21" customHeight="1">
      <x:c r="A247" s="6" t="n">
        <x:f>'Daily inputs'!A247</x:f>
        <x:v>46002</x:v>
      </x:c>
      <x:c r="B247" s="2" t="str">
        <x:f>'Daily inputs'!B247</x:f>
        <x:v>I06</x:v>
      </x:c>
      <x:c r="C247" s="2" t="n">
        <x:f>'Daily inputs'!C247</x:f>
        <x:v>4</x:v>
      </x:c>
      <x:c r="D247" s="2" t="str">
        <x:f>'Daily inputs'!D247</x:f>
        <x:v>December normal</x:v>
      </x:c>
      <x:c r="E247" s="7" t="n">
        <x:f>'Daily inputs'!E247</x:f>
        <x:v>3</x:v>
      </x:c>
      <x:c r="F247" s="2" t="n">
        <x:f>'Daily inputs'!F247</x:f>
        <x:v>34</x:v>
      </x:c>
      <x:c r="G247" s="2" t="n">
        <x:f>'Daily inputs'!G247</x:f>
        <x:v>4</x:v>
      </x:c>
      <x:c r="H247" s="2" t="n">
        <x:f>'Daily inputs'!H247</x:f>
        <x:v>35</x:v>
      </x:c>
      <x:c r="I247" s="2" t="n">
        <x:f>'Daily inputs'!I247</x:f>
        <x:v>0</x:v>
      </x:c>
      <x:c r="J247" s="2" t="n">
        <x:f>'Daily inputs'!J247</x:f>
        <x:v>0</x:v>
      </x:c>
      <x:c r="K247" s="2" t="n">
        <x:f>'Daily inputs'!K247</x:f>
        <x:v>0</x:v>
      </x:c>
      <x:c r="L247" s="2" t="n">
        <x:f>MIN(F247,G247+H247-I247)</x:f>
        <x:v>34</x:v>
      </x:c>
      <x:c r="M247" s="2" t="n">
        <x:f>G247+H247-L247-I247</x:f>
        <x:v>5</x:v>
      </x:c>
      <x:c r="N247" s="2" t="n">
        <x:f>F247-L247</x:f>
        <x:v>0</x:v>
      </x:c>
      <x:c r="O247" s="2" t="n">
        <x:f>N247-J247</x:f>
        <x:v>0</x:v>
      </x:c>
      <x:c r="P247" s="2" t="n">
        <x:f>L247+I247</x:f>
        <x:v>34</x:v>
      </x:c>
      <x:c r="Q247" s="8" t="n">
        <x:f>P247*E247</x:f>
        <x:v>102</x:v>
      </x:c>
      <x:c r="R247" s="8" t="n">
        <x:f>I247*E247</x:f>
        <x:v>0</x:v>
      </x:c>
      <x:c r="S247" s="8" t="n">
        <x:f>O247*E247</x:f>
        <x:v>0</x:v>
      </x:c>
      <x:c r="T247" s="2" t="n">
        <x:f>IF(A247&lt;DATE(2025,12,1),"",IF(D247="Closed",0,ROUND(AVERAGEIFS('Daily inputs'!$F$2:$F$367,'Daily inputs'!$B$2:$B$367,B247,'Daily inputs'!$C$2:$C$367,C247,'Daily inputs'!$D$2:$D$367,"Training"),0)))</x:f>
        <x:v>31</x:v>
      </x:c>
      <x:c r="U247" s="2" t="n">
        <x:f>IF(A247&lt;DATE(2025,12,1),"",ROUND(T247*IF(D247="Christmas",Notes!$B$9,Notes!$B$8),0))</x:f>
        <x:v>32</x:v>
      </x:c>
      <x:c r="V247" s="2" t="n">
        <x:f>IF(A247&lt;DATE(2025,12,1),"",ABS(T247-F247))</x:f>
        <x:v>3</x:v>
      </x:c>
      <x:c r="W247" s="2" t="n">
        <x:f>IF(A247&lt;DATE(2025,12,1),"",ABS(U247-F247))</x:f>
        <x:v>2</x:v>
      </x:c>
      <x:c r="X247" s="2" t="n">
        <x:f>IF(A247&lt;DATE(2025,12,1),"",T247-F247)</x:f>
        <x:v>-3</x:v>
      </x:c>
      <x:c r="Y247" s="2" t="n">
        <x:f>IF(A247&lt;DATE(2025,12,1),"",U247-F247)</x:f>
        <x:v>-2</x:v>
      </x:c>
      <x:c r="Z247" s="2" t="n">
        <x:f>IF(N247&gt;0,1,0)</x:f>
        <x:v>0</x:v>
      </x:c>
    </x:row>
    <x:row r="248" ht="21" customHeight="1">
      <x:c r="A248" s="6" t="n">
        <x:f>'Daily inputs'!A248</x:f>
        <x:v>46003</x:v>
      </x:c>
      <x:c r="B248" s="2" t="str">
        <x:f>'Daily inputs'!B248</x:f>
        <x:v>I01</x:v>
      </x:c>
      <x:c r="C248" s="2" t="n">
        <x:f>'Daily inputs'!C248</x:f>
        <x:v>5</x:v>
      </x:c>
      <x:c r="D248" s="2" t="str">
        <x:f>'Daily inputs'!D248</x:f>
        <x:v>December normal</x:v>
      </x:c>
      <x:c r="E248" s="7" t="n">
        <x:f>'Daily inputs'!E248</x:f>
        <x:v>8.5</x:v>
      </x:c>
      <x:c r="F248" s="2" t="n">
        <x:f>'Daily inputs'!F248</x:f>
        <x:v>93</x:v>
      </x:c>
      <x:c r="G248" s="2" t="n">
        <x:f>'Daily inputs'!G248</x:f>
        <x:v>11</x:v>
      </x:c>
      <x:c r="H248" s="2" t="n">
        <x:f>'Daily inputs'!H248</x:f>
        <x:v>96</x:v>
      </x:c>
      <x:c r="I248" s="2" t="n">
        <x:f>'Daily inputs'!I248</x:f>
        <x:v>0</x:v>
      </x:c>
      <x:c r="J248" s="2" t="n">
        <x:f>'Daily inputs'!J248</x:f>
        <x:v>0</x:v>
      </x:c>
      <x:c r="K248" s="2" t="n">
        <x:f>'Daily inputs'!K248</x:f>
        <x:v>0</x:v>
      </x:c>
      <x:c r="L248" s="2" t="n">
        <x:f>MIN(F248,G248+H248-I248)</x:f>
        <x:v>93</x:v>
      </x:c>
      <x:c r="M248" s="2" t="n">
        <x:f>G248+H248-L248-I248</x:f>
        <x:v>14</x:v>
      </x:c>
      <x:c r="N248" s="2" t="n">
        <x:f>F248-L248</x:f>
        <x:v>0</x:v>
      </x:c>
      <x:c r="O248" s="2" t="n">
        <x:f>N248-J248</x:f>
        <x:v>0</x:v>
      </x:c>
      <x:c r="P248" s="2" t="n">
        <x:f>L248+I248</x:f>
        <x:v>93</x:v>
      </x:c>
      <x:c r="Q248" s="8" t="n">
        <x:f>P248*E248</x:f>
        <x:v>790.5</x:v>
      </x:c>
      <x:c r="R248" s="8" t="n">
        <x:f>I248*E248</x:f>
        <x:v>0</x:v>
      </x:c>
      <x:c r="S248" s="8" t="n">
        <x:f>O248*E248</x:f>
        <x:v>0</x:v>
      </x:c>
      <x:c r="T248" s="2" t="n">
        <x:f>IF(A248&lt;DATE(2025,12,1),"",IF(D248="Closed",0,ROUND(AVERAGEIFS('Daily inputs'!$F$2:$F$367,'Daily inputs'!$B$2:$B$367,B248,'Daily inputs'!$C$2:$C$367,C248,'Daily inputs'!$D$2:$D$367,"Training"),0)))</x:f>
        <x:v>84</x:v>
      </x:c>
      <x:c r="U248" s="2" t="n">
        <x:f>IF(A248&lt;DATE(2025,12,1),"",ROUND(T248*IF(D248="Christmas",Notes!$B$9,Notes!$B$8),0))</x:f>
        <x:v>87</x:v>
      </x:c>
      <x:c r="V248" s="2" t="n">
        <x:f>IF(A248&lt;DATE(2025,12,1),"",ABS(T248-F248))</x:f>
        <x:v>9</x:v>
      </x:c>
      <x:c r="W248" s="2" t="n">
        <x:f>IF(A248&lt;DATE(2025,12,1),"",ABS(U248-F248))</x:f>
        <x:v>6</x:v>
      </x:c>
      <x:c r="X248" s="2" t="n">
        <x:f>IF(A248&lt;DATE(2025,12,1),"",T248-F248)</x:f>
        <x:v>-9</x:v>
      </x:c>
      <x:c r="Y248" s="2" t="n">
        <x:f>IF(A248&lt;DATE(2025,12,1),"",U248-F248)</x:f>
        <x:v>-6</x:v>
      </x:c>
      <x:c r="Z248" s="2" t="n">
        <x:f>IF(N248&gt;0,1,0)</x:f>
        <x:v>0</x:v>
      </x:c>
    </x:row>
    <x:row r="249" ht="21" customHeight="1">
      <x:c r="A249" s="6" t="n">
        <x:f>'Daily inputs'!A249</x:f>
        <x:v>46003</x:v>
      </x:c>
      <x:c r="B249" s="2" t="str">
        <x:f>'Daily inputs'!B249</x:f>
        <x:v>I02</x:v>
      </x:c>
      <x:c r="C249" s="2" t="n">
        <x:f>'Daily inputs'!C249</x:f>
        <x:v>5</x:v>
      </x:c>
      <x:c r="D249" s="2" t="str">
        <x:f>'Daily inputs'!D249</x:f>
        <x:v>December normal</x:v>
      </x:c>
      <x:c r="E249" s="7" t="n">
        <x:f>'Daily inputs'!E249</x:f>
        <x:v>8</x:v>
      </x:c>
      <x:c r="F249" s="2" t="n">
        <x:f>'Daily inputs'!F249</x:f>
        <x:v>70</x:v>
      </x:c>
      <x:c r="G249" s="2" t="n">
        <x:f>'Daily inputs'!G249</x:f>
        <x:v>9</x:v>
      </x:c>
      <x:c r="H249" s="2" t="n">
        <x:f>'Daily inputs'!H249</x:f>
        <x:v>72</x:v>
      </x:c>
      <x:c r="I249" s="2" t="n">
        <x:f>'Daily inputs'!I249</x:f>
        <x:v>0</x:v>
      </x:c>
      <x:c r="J249" s="2" t="n">
        <x:f>'Daily inputs'!J249</x:f>
        <x:v>0</x:v>
      </x:c>
      <x:c r="K249" s="2" t="n">
        <x:f>'Daily inputs'!K249</x:f>
        <x:v>0</x:v>
      </x:c>
      <x:c r="L249" s="2" t="n">
        <x:f>MIN(F249,G249+H249-I249)</x:f>
        <x:v>70</x:v>
      </x:c>
      <x:c r="M249" s="2" t="n">
        <x:f>G249+H249-L249-I249</x:f>
        <x:v>11</x:v>
      </x:c>
      <x:c r="N249" s="2" t="n">
        <x:f>F249-L249</x:f>
        <x:v>0</x:v>
      </x:c>
      <x:c r="O249" s="2" t="n">
        <x:f>N249-J249</x:f>
        <x:v>0</x:v>
      </x:c>
      <x:c r="P249" s="2" t="n">
        <x:f>L249+I249</x:f>
        <x:v>70</x:v>
      </x:c>
      <x:c r="Q249" s="8" t="n">
        <x:f>P249*E249</x:f>
        <x:v>560</x:v>
      </x:c>
      <x:c r="R249" s="8" t="n">
        <x:f>I249*E249</x:f>
        <x:v>0</x:v>
      </x:c>
      <x:c r="S249" s="8" t="n">
        <x:f>O249*E249</x:f>
        <x:v>0</x:v>
      </x:c>
      <x:c r="T249" s="2" t="n">
        <x:f>IF(A249&lt;DATE(2025,12,1),"",IF(D249="Closed",0,ROUND(AVERAGEIFS('Daily inputs'!$F$2:$F$367,'Daily inputs'!$B$2:$B$367,B249,'Daily inputs'!$C$2:$C$367,C249,'Daily inputs'!$D$2:$D$367,"Training"),0)))</x:f>
        <x:v>68</x:v>
      </x:c>
      <x:c r="U249" s="2" t="n">
        <x:f>IF(A249&lt;DATE(2025,12,1),"",ROUND(T249*IF(D249="Christmas",Notes!$B$9,Notes!$B$8),0))</x:f>
        <x:v>71</x:v>
      </x:c>
      <x:c r="V249" s="2" t="n">
        <x:f>IF(A249&lt;DATE(2025,12,1),"",ABS(T249-F249))</x:f>
        <x:v>2</x:v>
      </x:c>
      <x:c r="W249" s="2" t="n">
        <x:f>IF(A249&lt;DATE(2025,12,1),"",ABS(U249-F249))</x:f>
        <x:v>1</x:v>
      </x:c>
      <x:c r="X249" s="2" t="n">
        <x:f>IF(A249&lt;DATE(2025,12,1),"",T249-F249)</x:f>
        <x:v>-2</x:v>
      </x:c>
      <x:c r="Y249" s="2" t="n">
        <x:f>IF(A249&lt;DATE(2025,12,1),"",U249-F249)</x:f>
        <x:v>1</x:v>
      </x:c>
      <x:c r="Z249" s="2" t="n">
        <x:f>IF(N249&gt;0,1,0)</x:f>
        <x:v>0</x:v>
      </x:c>
    </x:row>
    <x:row r="250" ht="21" customHeight="1">
      <x:c r="A250" s="6" t="n">
        <x:f>'Daily inputs'!A250</x:f>
        <x:v>46003</x:v>
      </x:c>
      <x:c r="B250" s="2" t="str">
        <x:f>'Daily inputs'!B250</x:f>
        <x:v>I03</x:v>
      </x:c>
      <x:c r="C250" s="2" t="n">
        <x:f>'Daily inputs'!C250</x:f>
        <x:v>5</x:v>
      </x:c>
      <x:c r="D250" s="2" t="str">
        <x:f>'Daily inputs'!D250</x:f>
        <x:v>December normal</x:v>
      </x:c>
      <x:c r="E250" s="7" t="n">
        <x:f>'Daily inputs'!E250</x:f>
        <x:v>7.5</x:v>
      </x:c>
      <x:c r="F250" s="2" t="n">
        <x:f>'Daily inputs'!F250</x:f>
        <x:v>41</x:v>
      </x:c>
      <x:c r="G250" s="2" t="n">
        <x:f>'Daily inputs'!G250</x:f>
        <x:v>6</x:v>
      </x:c>
      <x:c r="H250" s="2" t="n">
        <x:f>'Daily inputs'!H250</x:f>
        <x:v>41</x:v>
      </x:c>
      <x:c r="I250" s="2" t="n">
        <x:f>'Daily inputs'!I250</x:f>
        <x:v>0</x:v>
      </x:c>
      <x:c r="J250" s="2" t="n">
        <x:f>'Daily inputs'!J250</x:f>
        <x:v>0</x:v>
      </x:c>
      <x:c r="K250" s="2" t="n">
        <x:f>'Daily inputs'!K250</x:f>
        <x:v>0</x:v>
      </x:c>
      <x:c r="L250" s="2" t="n">
        <x:f>MIN(F250,G250+H250-I250)</x:f>
        <x:v>41</x:v>
      </x:c>
      <x:c r="M250" s="2" t="n">
        <x:f>G250+H250-L250-I250</x:f>
        <x:v>6</x:v>
      </x:c>
      <x:c r="N250" s="2" t="n">
        <x:f>F250-L250</x:f>
        <x:v>0</x:v>
      </x:c>
      <x:c r="O250" s="2" t="n">
        <x:f>N250-J250</x:f>
        <x:v>0</x:v>
      </x:c>
      <x:c r="P250" s="2" t="n">
        <x:f>L250+I250</x:f>
        <x:v>41</x:v>
      </x:c>
      <x:c r="Q250" s="8" t="n">
        <x:f>P250*E250</x:f>
        <x:v>307.5</x:v>
      </x:c>
      <x:c r="R250" s="8" t="n">
        <x:f>I250*E250</x:f>
        <x:v>0</x:v>
      </x:c>
      <x:c r="S250" s="8" t="n">
        <x:f>O250*E250</x:f>
        <x:v>0</x:v>
      </x:c>
      <x:c r="T250" s="2" t="n">
        <x:f>IF(A250&lt;DATE(2025,12,1),"",IF(D250="Closed",0,ROUND(AVERAGEIFS('Daily inputs'!$F$2:$F$367,'Daily inputs'!$B$2:$B$367,B250,'Daily inputs'!$C$2:$C$367,C250,'Daily inputs'!$D$2:$D$367,"Training"),0)))</x:f>
        <x:v>41</x:v>
      </x:c>
      <x:c r="U250" s="2" t="n">
        <x:f>IF(A250&lt;DATE(2025,12,1),"",ROUND(T250*IF(D250="Christmas",Notes!$B$9,Notes!$B$8),0))</x:f>
        <x:v>43</x:v>
      </x:c>
      <x:c r="V250" s="2" t="n">
        <x:f>IF(A250&lt;DATE(2025,12,1),"",ABS(T250-F250))</x:f>
        <x:v>0</x:v>
      </x:c>
      <x:c r="W250" s="2" t="n">
        <x:f>IF(A250&lt;DATE(2025,12,1),"",ABS(U250-F250))</x:f>
        <x:v>2</x:v>
      </x:c>
      <x:c r="X250" s="2" t="n">
        <x:f>IF(A250&lt;DATE(2025,12,1),"",T250-F250)</x:f>
        <x:v>0</x:v>
      </x:c>
      <x:c r="Y250" s="2" t="n">
        <x:f>IF(A250&lt;DATE(2025,12,1),"",U250-F250)</x:f>
        <x:v>2</x:v>
      </x:c>
      <x:c r="Z250" s="2" t="n">
        <x:f>IF(N250&gt;0,1,0)</x:f>
        <x:v>0</x:v>
      </x:c>
    </x:row>
    <x:row r="251" ht="21" customHeight="1">
      <x:c r="A251" s="6" t="n">
        <x:f>'Daily inputs'!A251</x:f>
        <x:v>46003</x:v>
      </x:c>
      <x:c r="B251" s="2" t="str">
        <x:f>'Daily inputs'!B251</x:f>
        <x:v>I04</x:v>
      </x:c>
      <x:c r="C251" s="2" t="n">
        <x:f>'Daily inputs'!C251</x:f>
        <x:v>5</x:v>
      </x:c>
      <x:c r="D251" s="2" t="str">
        <x:f>'Daily inputs'!D251</x:f>
        <x:v>December normal</x:v>
      </x:c>
      <x:c r="E251" s="7" t="n">
        <x:f>'Daily inputs'!E251</x:f>
        <x:v>9</x:v>
      </x:c>
      <x:c r="F251" s="2" t="n">
        <x:f>'Daily inputs'!F251</x:f>
        <x:v>52</x:v>
      </x:c>
      <x:c r="G251" s="2" t="n">
        <x:f>'Daily inputs'!G251</x:f>
        <x:v>6</x:v>
      </x:c>
      <x:c r="H251" s="2" t="n">
        <x:f>'Daily inputs'!H251</x:f>
        <x:v>54</x:v>
      </x:c>
      <x:c r="I251" s="2" t="n">
        <x:f>'Daily inputs'!I251</x:f>
        <x:v>0</x:v>
      </x:c>
      <x:c r="J251" s="2" t="n">
        <x:f>'Daily inputs'!J251</x:f>
        <x:v>0</x:v>
      </x:c>
      <x:c r="K251" s="2" t="n">
        <x:f>'Daily inputs'!K251</x:f>
        <x:v>0</x:v>
      </x:c>
      <x:c r="L251" s="2" t="n">
        <x:f>MIN(F251,G251+H251-I251)</x:f>
        <x:v>52</x:v>
      </x:c>
      <x:c r="M251" s="2" t="n">
        <x:f>G251+H251-L251-I251</x:f>
        <x:v>8</x:v>
      </x:c>
      <x:c r="N251" s="2" t="n">
        <x:f>F251-L251</x:f>
        <x:v>0</x:v>
      </x:c>
      <x:c r="O251" s="2" t="n">
        <x:f>N251-J251</x:f>
        <x:v>0</x:v>
      </x:c>
      <x:c r="P251" s="2" t="n">
        <x:f>L251+I251</x:f>
        <x:v>52</x:v>
      </x:c>
      <x:c r="Q251" s="8" t="n">
        <x:f>P251*E251</x:f>
        <x:v>468</x:v>
      </x:c>
      <x:c r="R251" s="8" t="n">
        <x:f>I251*E251</x:f>
        <x:v>0</x:v>
      </x:c>
      <x:c r="S251" s="8" t="n">
        <x:f>O251*E251</x:f>
        <x:v>0</x:v>
      </x:c>
      <x:c r="T251" s="2" t="n">
        <x:f>IF(A251&lt;DATE(2025,12,1),"",IF(D251="Closed",0,ROUND(AVERAGEIFS('Daily inputs'!$F$2:$F$367,'Daily inputs'!$B$2:$B$367,B251,'Daily inputs'!$C$2:$C$367,C251,'Daily inputs'!$D$2:$D$367,"Training"),0)))</x:f>
        <x:v>48</x:v>
      </x:c>
      <x:c r="U251" s="2" t="n">
        <x:f>IF(A251&lt;DATE(2025,12,1),"",ROUND(T251*IF(D251="Christmas",Notes!$B$9,Notes!$B$8),0))</x:f>
        <x:v>50</x:v>
      </x:c>
      <x:c r="V251" s="2" t="n">
        <x:f>IF(A251&lt;DATE(2025,12,1),"",ABS(T251-F251))</x:f>
        <x:v>4</x:v>
      </x:c>
      <x:c r="W251" s="2" t="n">
        <x:f>IF(A251&lt;DATE(2025,12,1),"",ABS(U251-F251))</x:f>
        <x:v>2</x:v>
      </x:c>
      <x:c r="X251" s="2" t="n">
        <x:f>IF(A251&lt;DATE(2025,12,1),"",T251-F251)</x:f>
        <x:v>-4</x:v>
      </x:c>
      <x:c r="Y251" s="2" t="n">
        <x:f>IF(A251&lt;DATE(2025,12,1),"",U251-F251)</x:f>
        <x:v>-2</x:v>
      </x:c>
      <x:c r="Z251" s="2" t="n">
        <x:f>IF(N251&gt;0,1,0)</x:f>
        <x:v>0</x:v>
      </x:c>
    </x:row>
    <x:row r="252" ht="21" customHeight="1">
      <x:c r="A252" s="6" t="n">
        <x:f>'Daily inputs'!A252</x:f>
        <x:v>46003</x:v>
      </x:c>
      <x:c r="B252" s="2" t="str">
        <x:f>'Daily inputs'!B252</x:f>
        <x:v>I05</x:v>
      </x:c>
      <x:c r="C252" s="2" t="n">
        <x:f>'Daily inputs'!C252</x:f>
        <x:v>5</x:v>
      </x:c>
      <x:c r="D252" s="2" t="str">
        <x:f>'Daily inputs'!D252</x:f>
        <x:v>December normal</x:v>
      </x:c>
      <x:c r="E252" s="7" t="n">
        <x:f>'Daily inputs'!E252</x:f>
        <x:v>3.5</x:v>
      </x:c>
      <x:c r="F252" s="2" t="n">
        <x:f>'Daily inputs'!F252</x:f>
        <x:v>98</x:v>
      </x:c>
      <x:c r="G252" s="2" t="n">
        <x:f>'Daily inputs'!G252</x:f>
        <x:v>12</x:v>
      </x:c>
      <x:c r="H252" s="2" t="n">
        <x:f>'Daily inputs'!H252</x:f>
        <x:v>101</x:v>
      </x:c>
      <x:c r="I252" s="2" t="n">
        <x:f>'Daily inputs'!I252</x:f>
        <x:v>0</x:v>
      </x:c>
      <x:c r="J252" s="2" t="n">
        <x:f>'Daily inputs'!J252</x:f>
        <x:v>0</x:v>
      </x:c>
      <x:c r="K252" s="2" t="n">
        <x:f>'Daily inputs'!K252</x:f>
        <x:v>0</x:v>
      </x:c>
      <x:c r="L252" s="2" t="n">
        <x:f>MIN(F252,G252+H252-I252)</x:f>
        <x:v>98</x:v>
      </x:c>
      <x:c r="M252" s="2" t="n">
        <x:f>G252+H252-L252-I252</x:f>
        <x:v>15</x:v>
      </x:c>
      <x:c r="N252" s="2" t="n">
        <x:f>F252-L252</x:f>
        <x:v>0</x:v>
      </x:c>
      <x:c r="O252" s="2" t="n">
        <x:f>N252-J252</x:f>
        <x:v>0</x:v>
      </x:c>
      <x:c r="P252" s="2" t="n">
        <x:f>L252+I252</x:f>
        <x:v>98</x:v>
      </x:c>
      <x:c r="Q252" s="8" t="n">
        <x:f>P252*E252</x:f>
        <x:v>343</x:v>
      </x:c>
      <x:c r="R252" s="8" t="n">
        <x:f>I252*E252</x:f>
        <x:v>0</x:v>
      </x:c>
      <x:c r="S252" s="8" t="n">
        <x:f>O252*E252</x:f>
        <x:v>0</x:v>
      </x:c>
      <x:c r="T252" s="2" t="n">
        <x:f>IF(A252&lt;DATE(2025,12,1),"",IF(D252="Closed",0,ROUND(AVERAGEIFS('Daily inputs'!$F$2:$F$367,'Daily inputs'!$B$2:$B$367,B252,'Daily inputs'!$C$2:$C$367,C252,'Daily inputs'!$D$2:$D$367,"Training"),0)))</x:f>
        <x:v>98</x:v>
      </x:c>
      <x:c r="U252" s="2" t="n">
        <x:f>IF(A252&lt;DATE(2025,12,1),"",ROUND(T252*IF(D252="Christmas",Notes!$B$9,Notes!$B$8),0))</x:f>
        <x:v>102</x:v>
      </x:c>
      <x:c r="V252" s="2" t="n">
        <x:f>IF(A252&lt;DATE(2025,12,1),"",ABS(T252-F252))</x:f>
        <x:v>0</x:v>
      </x:c>
      <x:c r="W252" s="2" t="n">
        <x:f>IF(A252&lt;DATE(2025,12,1),"",ABS(U252-F252))</x:f>
        <x:v>4</x:v>
      </x:c>
      <x:c r="X252" s="2" t="n">
        <x:f>IF(A252&lt;DATE(2025,12,1),"",T252-F252)</x:f>
        <x:v>0</x:v>
      </x:c>
      <x:c r="Y252" s="2" t="n">
        <x:f>IF(A252&lt;DATE(2025,12,1),"",U252-F252)</x:f>
        <x:v>4</x:v>
      </x:c>
      <x:c r="Z252" s="2" t="n">
        <x:f>IF(N252&gt;0,1,0)</x:f>
        <x:v>0</x:v>
      </x:c>
    </x:row>
    <x:row r="253" ht="21" customHeight="1">
      <x:c r="A253" s="6" t="n">
        <x:f>'Daily inputs'!A253</x:f>
        <x:v>46003</x:v>
      </x:c>
      <x:c r="B253" s="2" t="str">
        <x:f>'Daily inputs'!B253</x:f>
        <x:v>I06</x:v>
      </x:c>
      <x:c r="C253" s="2" t="n">
        <x:f>'Daily inputs'!C253</x:f>
        <x:v>5</x:v>
      </x:c>
      <x:c r="D253" s="2" t="str">
        <x:f>'Daily inputs'!D253</x:f>
        <x:v>December normal</x:v>
      </x:c>
      <x:c r="E253" s="7" t="n">
        <x:f>'Daily inputs'!E253</x:f>
        <x:v>3</x:v>
      </x:c>
      <x:c r="F253" s="2" t="n">
        <x:f>'Daily inputs'!F253</x:f>
        <x:v>39</x:v>
      </x:c>
      <x:c r="G253" s="2" t="n">
        <x:f>'Daily inputs'!G253</x:f>
        <x:v>5</x:v>
      </x:c>
      <x:c r="H253" s="2" t="n">
        <x:f>'Daily inputs'!H253</x:f>
        <x:v>40</x:v>
      </x:c>
      <x:c r="I253" s="2" t="n">
        <x:f>'Daily inputs'!I253</x:f>
        <x:v>0</x:v>
      </x:c>
      <x:c r="J253" s="2" t="n">
        <x:f>'Daily inputs'!J253</x:f>
        <x:v>0</x:v>
      </x:c>
      <x:c r="K253" s="2" t="n">
        <x:f>'Daily inputs'!K253</x:f>
        <x:v>0</x:v>
      </x:c>
      <x:c r="L253" s="2" t="n">
        <x:f>MIN(F253,G253+H253-I253)</x:f>
        <x:v>39</x:v>
      </x:c>
      <x:c r="M253" s="2" t="n">
        <x:f>G253+H253-L253-I253</x:f>
        <x:v>6</x:v>
      </x:c>
      <x:c r="N253" s="2" t="n">
        <x:f>F253-L253</x:f>
        <x:v>0</x:v>
      </x:c>
      <x:c r="O253" s="2" t="n">
        <x:f>N253-J253</x:f>
        <x:v>0</x:v>
      </x:c>
      <x:c r="P253" s="2" t="n">
        <x:f>L253+I253</x:f>
        <x:v>39</x:v>
      </x:c>
      <x:c r="Q253" s="8" t="n">
        <x:f>P253*E253</x:f>
        <x:v>117</x:v>
      </x:c>
      <x:c r="R253" s="8" t="n">
        <x:f>I253*E253</x:f>
        <x:v>0</x:v>
      </x:c>
      <x:c r="S253" s="8" t="n">
        <x:f>O253*E253</x:f>
        <x:v>0</x:v>
      </x:c>
      <x:c r="T253" s="2" t="n">
        <x:f>IF(A253&lt;DATE(2025,12,1),"",IF(D253="Closed",0,ROUND(AVERAGEIFS('Daily inputs'!$F$2:$F$367,'Daily inputs'!$B$2:$B$367,B253,'Daily inputs'!$C$2:$C$367,C253,'Daily inputs'!$D$2:$D$367,"Training"),0)))</x:f>
        <x:v>38</x:v>
      </x:c>
      <x:c r="U253" s="2" t="n">
        <x:f>IF(A253&lt;DATE(2025,12,1),"",ROUND(T253*IF(D253="Christmas",Notes!$B$9,Notes!$B$8),0))</x:f>
        <x:v>40</x:v>
      </x:c>
      <x:c r="V253" s="2" t="n">
        <x:f>IF(A253&lt;DATE(2025,12,1),"",ABS(T253-F253))</x:f>
        <x:v>1</x:v>
      </x:c>
      <x:c r="W253" s="2" t="n">
        <x:f>IF(A253&lt;DATE(2025,12,1),"",ABS(U253-F253))</x:f>
        <x:v>1</x:v>
      </x:c>
      <x:c r="X253" s="2" t="n">
        <x:f>IF(A253&lt;DATE(2025,12,1),"",T253-F253)</x:f>
        <x:v>-1</x:v>
      </x:c>
      <x:c r="Y253" s="2" t="n">
        <x:f>IF(A253&lt;DATE(2025,12,1),"",U253-F253)</x:f>
        <x:v>1</x:v>
      </x:c>
      <x:c r="Z253" s="2" t="n">
        <x:f>IF(N253&gt;0,1,0)</x:f>
        <x:v>0</x:v>
      </x:c>
    </x:row>
    <x:row r="254" ht="21" customHeight="1">
      <x:c r="A254" s="6" t="n">
        <x:f>'Daily inputs'!A254</x:f>
        <x:v>46004</x:v>
      </x:c>
      <x:c r="B254" s="2" t="str">
        <x:f>'Daily inputs'!B254</x:f>
        <x:v>I01</x:v>
      </x:c>
      <x:c r="C254" s="2" t="n">
        <x:f>'Daily inputs'!C254</x:f>
        <x:v>6</x:v>
      </x:c>
      <x:c r="D254" s="2" t="str">
        <x:f>'Daily inputs'!D254</x:f>
        <x:v>December normal</x:v>
      </x:c>
      <x:c r="E254" s="7" t="n">
        <x:f>'Daily inputs'!E254</x:f>
        <x:v>8.5</x:v>
      </x:c>
      <x:c r="F254" s="2" t="n">
        <x:f>'Daily inputs'!F254</x:f>
        <x:v>99</x:v>
      </x:c>
      <x:c r="G254" s="2" t="n">
        <x:f>'Daily inputs'!G254</x:f>
        <x:v>14</x:v>
      </x:c>
      <x:c r="H254" s="2" t="n">
        <x:f>'Daily inputs'!H254</x:f>
        <x:v>100</x:v>
      </x:c>
      <x:c r="I254" s="2" t="n">
        <x:f>'Daily inputs'!I254</x:f>
        <x:v>0</x:v>
      </x:c>
      <x:c r="J254" s="2" t="n">
        <x:f>'Daily inputs'!J254</x:f>
        <x:v>0</x:v>
      </x:c>
      <x:c r="K254" s="2" t="n">
        <x:f>'Daily inputs'!K254</x:f>
        <x:v>0</x:v>
      </x:c>
      <x:c r="L254" s="2" t="n">
        <x:f>MIN(F254,G254+H254-I254)</x:f>
        <x:v>99</x:v>
      </x:c>
      <x:c r="M254" s="2" t="n">
        <x:f>G254+H254-L254-I254</x:f>
        <x:v>15</x:v>
      </x:c>
      <x:c r="N254" s="2" t="n">
        <x:f>F254-L254</x:f>
        <x:v>0</x:v>
      </x:c>
      <x:c r="O254" s="2" t="n">
        <x:f>N254-J254</x:f>
        <x:v>0</x:v>
      </x:c>
      <x:c r="P254" s="2" t="n">
        <x:f>L254+I254</x:f>
        <x:v>99</x:v>
      </x:c>
      <x:c r="Q254" s="8" t="n">
        <x:f>P254*E254</x:f>
        <x:v>841.5</x:v>
      </x:c>
      <x:c r="R254" s="8" t="n">
        <x:f>I254*E254</x:f>
        <x:v>0</x:v>
      </x:c>
      <x:c r="S254" s="8" t="n">
        <x:f>O254*E254</x:f>
        <x:v>0</x:v>
      </x:c>
      <x:c r="T254" s="2" t="n">
        <x:f>IF(A254&lt;DATE(2025,12,1),"",IF(D254="Closed",0,ROUND(AVERAGEIFS('Daily inputs'!$F$2:$F$367,'Daily inputs'!$B$2:$B$367,B254,'Daily inputs'!$C$2:$C$367,C254,'Daily inputs'!$D$2:$D$367,"Training"),0)))</x:f>
        <x:v>94</x:v>
      </x:c>
      <x:c r="U254" s="2" t="n">
        <x:f>IF(A254&lt;DATE(2025,12,1),"",ROUND(T254*IF(D254="Christmas",Notes!$B$9,Notes!$B$8),0))</x:f>
        <x:v>98</x:v>
      </x:c>
      <x:c r="V254" s="2" t="n">
        <x:f>IF(A254&lt;DATE(2025,12,1),"",ABS(T254-F254))</x:f>
        <x:v>5</x:v>
      </x:c>
      <x:c r="W254" s="2" t="n">
        <x:f>IF(A254&lt;DATE(2025,12,1),"",ABS(U254-F254))</x:f>
        <x:v>1</x:v>
      </x:c>
      <x:c r="X254" s="2" t="n">
        <x:f>IF(A254&lt;DATE(2025,12,1),"",T254-F254)</x:f>
        <x:v>-5</x:v>
      </x:c>
      <x:c r="Y254" s="2" t="n">
        <x:f>IF(A254&lt;DATE(2025,12,1),"",U254-F254)</x:f>
        <x:v>-1</x:v>
      </x:c>
      <x:c r="Z254" s="2" t="n">
        <x:f>IF(N254&gt;0,1,0)</x:f>
        <x:v>0</x:v>
      </x:c>
    </x:row>
    <x:row r="255" ht="21" customHeight="1">
      <x:c r="A255" s="6" t="n">
        <x:f>'Daily inputs'!A255</x:f>
        <x:v>46004</x:v>
      </x:c>
      <x:c r="B255" s="2" t="str">
        <x:f>'Daily inputs'!B255</x:f>
        <x:v>I02</x:v>
      </x:c>
      <x:c r="C255" s="2" t="n">
        <x:f>'Daily inputs'!C255</x:f>
        <x:v>6</x:v>
      </x:c>
      <x:c r="D255" s="2" t="str">
        <x:f>'Daily inputs'!D255</x:f>
        <x:v>December normal</x:v>
      </x:c>
      <x:c r="E255" s="7" t="n">
        <x:f>'Daily inputs'!E255</x:f>
        <x:v>8</x:v>
      </x:c>
      <x:c r="F255" s="2" t="n">
        <x:f>'Daily inputs'!F255</x:f>
        <x:v>80</x:v>
      </x:c>
      <x:c r="G255" s="2" t="n">
        <x:f>'Daily inputs'!G255</x:f>
        <x:v>11</x:v>
      </x:c>
      <x:c r="H255" s="2" t="n">
        <x:f>'Daily inputs'!H255</x:f>
        <x:v>81</x:v>
      </x:c>
      <x:c r="I255" s="2" t="n">
        <x:f>'Daily inputs'!I255</x:f>
        <x:v>0</x:v>
      </x:c>
      <x:c r="J255" s="2" t="n">
        <x:f>'Daily inputs'!J255</x:f>
        <x:v>0</x:v>
      </x:c>
      <x:c r="K255" s="2" t="n">
        <x:f>'Daily inputs'!K255</x:f>
        <x:v>0</x:v>
      </x:c>
      <x:c r="L255" s="2" t="n">
        <x:f>MIN(F255,G255+H255-I255)</x:f>
        <x:v>80</x:v>
      </x:c>
      <x:c r="M255" s="2" t="n">
        <x:f>G255+H255-L255-I255</x:f>
        <x:v>12</x:v>
      </x:c>
      <x:c r="N255" s="2" t="n">
        <x:f>F255-L255</x:f>
        <x:v>0</x:v>
      </x:c>
      <x:c r="O255" s="2" t="n">
        <x:f>N255-J255</x:f>
        <x:v>0</x:v>
      </x:c>
      <x:c r="P255" s="2" t="n">
        <x:f>L255+I255</x:f>
        <x:v>80</x:v>
      </x:c>
      <x:c r="Q255" s="8" t="n">
        <x:f>P255*E255</x:f>
        <x:v>640</x:v>
      </x:c>
      <x:c r="R255" s="8" t="n">
        <x:f>I255*E255</x:f>
        <x:v>0</x:v>
      </x:c>
      <x:c r="S255" s="8" t="n">
        <x:f>O255*E255</x:f>
        <x:v>0</x:v>
      </x:c>
      <x:c r="T255" s="2" t="n">
        <x:f>IF(A255&lt;DATE(2025,12,1),"",IF(D255="Closed",0,ROUND(AVERAGEIFS('Daily inputs'!$F$2:$F$367,'Daily inputs'!$B$2:$B$367,B255,'Daily inputs'!$C$2:$C$367,C255,'Daily inputs'!$D$2:$D$367,"Training"),0)))</x:f>
        <x:v>76</x:v>
      </x:c>
      <x:c r="U255" s="2" t="n">
        <x:f>IF(A255&lt;DATE(2025,12,1),"",ROUND(T255*IF(D255="Christmas",Notes!$B$9,Notes!$B$8),0))</x:f>
        <x:v>79</x:v>
      </x:c>
      <x:c r="V255" s="2" t="n">
        <x:f>IF(A255&lt;DATE(2025,12,1),"",ABS(T255-F255))</x:f>
        <x:v>4</x:v>
      </x:c>
      <x:c r="W255" s="2" t="n">
        <x:f>IF(A255&lt;DATE(2025,12,1),"",ABS(U255-F255))</x:f>
        <x:v>1</x:v>
      </x:c>
      <x:c r="X255" s="2" t="n">
        <x:f>IF(A255&lt;DATE(2025,12,1),"",T255-F255)</x:f>
        <x:v>-4</x:v>
      </x:c>
      <x:c r="Y255" s="2" t="n">
        <x:f>IF(A255&lt;DATE(2025,12,1),"",U255-F255)</x:f>
        <x:v>-1</x:v>
      </x:c>
      <x:c r="Z255" s="2" t="n">
        <x:f>IF(N255&gt;0,1,0)</x:f>
        <x:v>0</x:v>
      </x:c>
    </x:row>
    <x:row r="256" ht="21" customHeight="1">
      <x:c r="A256" s="6" t="n">
        <x:f>'Daily inputs'!A256</x:f>
        <x:v>46004</x:v>
      </x:c>
      <x:c r="B256" s="2" t="str">
        <x:f>'Daily inputs'!B256</x:f>
        <x:v>I03</x:v>
      </x:c>
      <x:c r="C256" s="2" t="n">
        <x:f>'Daily inputs'!C256</x:f>
        <x:v>6</x:v>
      </x:c>
      <x:c r="D256" s="2" t="str">
        <x:f>'Daily inputs'!D256</x:f>
        <x:v>December normal</x:v>
      </x:c>
      <x:c r="E256" s="7" t="n">
        <x:f>'Daily inputs'!E256</x:f>
        <x:v>7.5</x:v>
      </x:c>
      <x:c r="F256" s="2" t="n">
        <x:f>'Daily inputs'!F256</x:f>
        <x:v>49</x:v>
      </x:c>
      <x:c r="G256" s="2" t="n">
        <x:f>'Daily inputs'!G256</x:f>
        <x:v>6</x:v>
      </x:c>
      <x:c r="H256" s="2" t="n">
        <x:f>'Daily inputs'!H256</x:f>
        <x:v>50</x:v>
      </x:c>
      <x:c r="I256" s="2" t="n">
        <x:f>'Daily inputs'!I256</x:f>
        <x:v>0</x:v>
      </x:c>
      <x:c r="J256" s="2" t="n">
        <x:f>'Daily inputs'!J256</x:f>
        <x:v>0</x:v>
      </x:c>
      <x:c r="K256" s="2" t="n">
        <x:f>'Daily inputs'!K256</x:f>
        <x:v>0</x:v>
      </x:c>
      <x:c r="L256" s="2" t="n">
        <x:f>MIN(F256,G256+H256-I256)</x:f>
        <x:v>49</x:v>
      </x:c>
      <x:c r="M256" s="2" t="n">
        <x:f>G256+H256-L256-I256</x:f>
        <x:v>7</x:v>
      </x:c>
      <x:c r="N256" s="2" t="n">
        <x:f>F256-L256</x:f>
        <x:v>0</x:v>
      </x:c>
      <x:c r="O256" s="2" t="n">
        <x:f>N256-J256</x:f>
        <x:v>0</x:v>
      </x:c>
      <x:c r="P256" s="2" t="n">
        <x:f>L256+I256</x:f>
        <x:v>49</x:v>
      </x:c>
      <x:c r="Q256" s="8" t="n">
        <x:f>P256*E256</x:f>
        <x:v>367.5</x:v>
      </x:c>
      <x:c r="R256" s="8" t="n">
        <x:f>I256*E256</x:f>
        <x:v>0</x:v>
      </x:c>
      <x:c r="S256" s="8" t="n">
        <x:f>O256*E256</x:f>
        <x:v>0</x:v>
      </x:c>
      <x:c r="T256" s="2" t="n">
        <x:f>IF(A256&lt;DATE(2025,12,1),"",IF(D256="Closed",0,ROUND(AVERAGEIFS('Daily inputs'!$F$2:$F$367,'Daily inputs'!$B$2:$B$367,B256,'Daily inputs'!$C$2:$C$367,C256,'Daily inputs'!$D$2:$D$367,"Training"),0)))</x:f>
        <x:v>43</x:v>
      </x:c>
      <x:c r="U256" s="2" t="n">
        <x:f>IF(A256&lt;DATE(2025,12,1),"",ROUND(T256*IF(D256="Christmas",Notes!$B$9,Notes!$B$8),0))</x:f>
        <x:v>45</x:v>
      </x:c>
      <x:c r="V256" s="2" t="n">
        <x:f>IF(A256&lt;DATE(2025,12,1),"",ABS(T256-F256))</x:f>
        <x:v>6</x:v>
      </x:c>
      <x:c r="W256" s="2" t="n">
        <x:f>IF(A256&lt;DATE(2025,12,1),"",ABS(U256-F256))</x:f>
        <x:v>4</x:v>
      </x:c>
      <x:c r="X256" s="2" t="n">
        <x:f>IF(A256&lt;DATE(2025,12,1),"",T256-F256)</x:f>
        <x:v>-6</x:v>
      </x:c>
      <x:c r="Y256" s="2" t="n">
        <x:f>IF(A256&lt;DATE(2025,12,1),"",U256-F256)</x:f>
        <x:v>-4</x:v>
      </x:c>
      <x:c r="Z256" s="2" t="n">
        <x:f>IF(N256&gt;0,1,0)</x:f>
        <x:v>0</x:v>
      </x:c>
    </x:row>
    <x:row r="257" ht="21" customHeight="1">
      <x:c r="A257" s="6" t="n">
        <x:f>'Daily inputs'!A257</x:f>
        <x:v>46004</x:v>
      </x:c>
      <x:c r="B257" s="2" t="str">
        <x:f>'Daily inputs'!B257</x:f>
        <x:v>I04</x:v>
      </x:c>
      <x:c r="C257" s="2" t="n">
        <x:f>'Daily inputs'!C257</x:f>
        <x:v>6</x:v>
      </x:c>
      <x:c r="D257" s="2" t="str">
        <x:f>'Daily inputs'!D257</x:f>
        <x:v>December normal</x:v>
      </x:c>
      <x:c r="E257" s="7" t="n">
        <x:f>'Daily inputs'!E257</x:f>
        <x:v>9</x:v>
      </x:c>
      <x:c r="F257" s="2" t="n">
        <x:f>'Daily inputs'!F257</x:f>
        <x:v>57</x:v>
      </x:c>
      <x:c r="G257" s="2" t="n">
        <x:f>'Daily inputs'!G257</x:f>
        <x:v>8</x:v>
      </x:c>
      <x:c r="H257" s="2" t="n">
        <x:f>'Daily inputs'!H257</x:f>
        <x:v>58</x:v>
      </x:c>
      <x:c r="I257" s="2" t="n">
        <x:f>'Daily inputs'!I257</x:f>
        <x:v>0</x:v>
      </x:c>
      <x:c r="J257" s="2" t="n">
        <x:f>'Daily inputs'!J257</x:f>
        <x:v>0</x:v>
      </x:c>
      <x:c r="K257" s="2" t="n">
        <x:f>'Daily inputs'!K257</x:f>
        <x:v>0</x:v>
      </x:c>
      <x:c r="L257" s="2" t="n">
        <x:f>MIN(F257,G257+H257-I257)</x:f>
        <x:v>57</x:v>
      </x:c>
      <x:c r="M257" s="2" t="n">
        <x:f>G257+H257-L257-I257</x:f>
        <x:v>9</x:v>
      </x:c>
      <x:c r="N257" s="2" t="n">
        <x:f>F257-L257</x:f>
        <x:v>0</x:v>
      </x:c>
      <x:c r="O257" s="2" t="n">
        <x:f>N257-J257</x:f>
        <x:v>0</x:v>
      </x:c>
      <x:c r="P257" s="2" t="n">
        <x:f>L257+I257</x:f>
        <x:v>57</x:v>
      </x:c>
      <x:c r="Q257" s="8" t="n">
        <x:f>P257*E257</x:f>
        <x:v>513</x:v>
      </x:c>
      <x:c r="R257" s="8" t="n">
        <x:f>I257*E257</x:f>
        <x:v>0</x:v>
      </x:c>
      <x:c r="S257" s="8" t="n">
        <x:f>O257*E257</x:f>
        <x:v>0</x:v>
      </x:c>
      <x:c r="T257" s="2" t="n">
        <x:f>IF(A257&lt;DATE(2025,12,1),"",IF(D257="Closed",0,ROUND(AVERAGEIFS('Daily inputs'!$F$2:$F$367,'Daily inputs'!$B$2:$B$367,B257,'Daily inputs'!$C$2:$C$367,C257,'Daily inputs'!$D$2:$D$367,"Training"),0)))</x:f>
        <x:v>52</x:v>
      </x:c>
      <x:c r="U257" s="2" t="n">
        <x:f>IF(A257&lt;DATE(2025,12,1),"",ROUND(T257*IF(D257="Christmas",Notes!$B$9,Notes!$B$8),0))</x:f>
        <x:v>54</x:v>
      </x:c>
      <x:c r="V257" s="2" t="n">
        <x:f>IF(A257&lt;DATE(2025,12,1),"",ABS(T257-F257))</x:f>
        <x:v>5</x:v>
      </x:c>
      <x:c r="W257" s="2" t="n">
        <x:f>IF(A257&lt;DATE(2025,12,1),"",ABS(U257-F257))</x:f>
        <x:v>3</x:v>
      </x:c>
      <x:c r="X257" s="2" t="n">
        <x:f>IF(A257&lt;DATE(2025,12,1),"",T257-F257)</x:f>
        <x:v>-5</x:v>
      </x:c>
      <x:c r="Y257" s="2" t="n">
        <x:f>IF(A257&lt;DATE(2025,12,1),"",U257-F257)</x:f>
        <x:v>-3</x:v>
      </x:c>
      <x:c r="Z257" s="2" t="n">
        <x:f>IF(N257&gt;0,1,0)</x:f>
        <x:v>0</x:v>
      </x:c>
    </x:row>
    <x:row r="258" ht="21" customHeight="1">
      <x:c r="A258" s="6" t="n">
        <x:f>'Daily inputs'!A258</x:f>
        <x:v>46004</x:v>
      </x:c>
      <x:c r="B258" s="2" t="str">
        <x:f>'Daily inputs'!B258</x:f>
        <x:v>I05</x:v>
      </x:c>
      <x:c r="C258" s="2" t="n">
        <x:f>'Daily inputs'!C258</x:f>
        <x:v>6</x:v>
      </x:c>
      <x:c r="D258" s="2" t="str">
        <x:f>'Daily inputs'!D258</x:f>
        <x:v>December normal</x:v>
      </x:c>
      <x:c r="E258" s="7" t="n">
        <x:f>'Daily inputs'!E258</x:f>
        <x:v>3.5</x:v>
      </x:c>
      <x:c r="F258" s="2" t="n">
        <x:f>'Daily inputs'!F258</x:f>
        <x:v>114</x:v>
      </x:c>
      <x:c r="G258" s="2" t="n">
        <x:f>'Daily inputs'!G258</x:f>
        <x:v>15</x:v>
      </x:c>
      <x:c r="H258" s="2" t="n">
        <x:f>'Daily inputs'!H258</x:f>
        <x:v>116</x:v>
      </x:c>
      <x:c r="I258" s="2" t="n">
        <x:f>'Daily inputs'!I258</x:f>
        <x:v>0</x:v>
      </x:c>
      <x:c r="J258" s="2" t="n">
        <x:f>'Daily inputs'!J258</x:f>
        <x:v>0</x:v>
      </x:c>
      <x:c r="K258" s="2" t="n">
        <x:f>'Daily inputs'!K258</x:f>
        <x:v>0</x:v>
      </x:c>
      <x:c r="L258" s="2" t="n">
        <x:f>MIN(F258,G258+H258-I258)</x:f>
        <x:v>114</x:v>
      </x:c>
      <x:c r="M258" s="2" t="n">
        <x:f>G258+H258-L258-I258</x:f>
        <x:v>17</x:v>
      </x:c>
      <x:c r="N258" s="2" t="n">
        <x:f>F258-L258</x:f>
        <x:v>0</x:v>
      </x:c>
      <x:c r="O258" s="2" t="n">
        <x:f>N258-J258</x:f>
        <x:v>0</x:v>
      </x:c>
      <x:c r="P258" s="2" t="n">
        <x:f>L258+I258</x:f>
        <x:v>114</x:v>
      </x:c>
      <x:c r="Q258" s="8" t="n">
        <x:f>P258*E258</x:f>
        <x:v>399</x:v>
      </x:c>
      <x:c r="R258" s="8" t="n">
        <x:f>I258*E258</x:f>
        <x:v>0</x:v>
      </x:c>
      <x:c r="S258" s="8" t="n">
        <x:f>O258*E258</x:f>
        <x:v>0</x:v>
      </x:c>
      <x:c r="T258" s="2" t="n">
        <x:f>IF(A258&lt;DATE(2025,12,1),"",IF(D258="Closed",0,ROUND(AVERAGEIFS('Daily inputs'!$F$2:$F$367,'Daily inputs'!$B$2:$B$367,B258,'Daily inputs'!$C$2:$C$367,C258,'Daily inputs'!$D$2:$D$367,"Training"),0)))</x:f>
        <x:v>106</x:v>
      </x:c>
      <x:c r="U258" s="2" t="n">
        <x:f>IF(A258&lt;DATE(2025,12,1),"",ROUND(T258*IF(D258="Christmas",Notes!$B$9,Notes!$B$8),0))</x:f>
        <x:v>110</x:v>
      </x:c>
      <x:c r="V258" s="2" t="n">
        <x:f>IF(A258&lt;DATE(2025,12,1),"",ABS(T258-F258))</x:f>
        <x:v>8</x:v>
      </x:c>
      <x:c r="W258" s="2" t="n">
        <x:f>IF(A258&lt;DATE(2025,12,1),"",ABS(U258-F258))</x:f>
        <x:v>4</x:v>
      </x:c>
      <x:c r="X258" s="2" t="n">
        <x:f>IF(A258&lt;DATE(2025,12,1),"",T258-F258)</x:f>
        <x:v>-8</x:v>
      </x:c>
      <x:c r="Y258" s="2" t="n">
        <x:f>IF(A258&lt;DATE(2025,12,1),"",U258-F258)</x:f>
        <x:v>-4</x:v>
      </x:c>
      <x:c r="Z258" s="2" t="n">
        <x:f>IF(N258&gt;0,1,0)</x:f>
        <x:v>0</x:v>
      </x:c>
    </x:row>
    <x:row r="259" ht="21" customHeight="1">
      <x:c r="A259" s="6" t="n">
        <x:f>'Daily inputs'!A259</x:f>
        <x:v>46004</x:v>
      </x:c>
      <x:c r="B259" s="2" t="str">
        <x:f>'Daily inputs'!B259</x:f>
        <x:v>I06</x:v>
      </x:c>
      <x:c r="C259" s="2" t="n">
        <x:f>'Daily inputs'!C259</x:f>
        <x:v>6</x:v>
      </x:c>
      <x:c r="D259" s="2" t="str">
        <x:f>'Daily inputs'!D259</x:f>
        <x:v>December normal</x:v>
      </x:c>
      <x:c r="E259" s="7" t="n">
        <x:f>'Daily inputs'!E259</x:f>
        <x:v>3</x:v>
      </x:c>
      <x:c r="F259" s="2" t="n">
        <x:f>'Daily inputs'!F259</x:f>
        <x:v>42</x:v>
      </x:c>
      <x:c r="G259" s="2" t="n">
        <x:f>'Daily inputs'!G259</x:f>
        <x:v>6</x:v>
      </x:c>
      <x:c r="H259" s="2" t="n">
        <x:f>'Daily inputs'!H259</x:f>
        <x:v>42</x:v>
      </x:c>
      <x:c r="I259" s="2" t="n">
        <x:f>'Daily inputs'!I259</x:f>
        <x:v>0</x:v>
      </x:c>
      <x:c r="J259" s="2" t="n">
        <x:f>'Daily inputs'!J259</x:f>
        <x:v>0</x:v>
      </x:c>
      <x:c r="K259" s="2" t="n">
        <x:f>'Daily inputs'!K259</x:f>
        <x:v>0</x:v>
      </x:c>
      <x:c r="L259" s="2" t="n">
        <x:f>MIN(F259,G259+H259-I259)</x:f>
        <x:v>42</x:v>
      </x:c>
      <x:c r="M259" s="2" t="n">
        <x:f>G259+H259-L259-I259</x:f>
        <x:v>6</x:v>
      </x:c>
      <x:c r="N259" s="2" t="n">
        <x:f>F259-L259</x:f>
        <x:v>0</x:v>
      </x:c>
      <x:c r="O259" s="2" t="n">
        <x:f>N259-J259</x:f>
        <x:v>0</x:v>
      </x:c>
      <x:c r="P259" s="2" t="n">
        <x:f>L259+I259</x:f>
        <x:v>42</x:v>
      </x:c>
      <x:c r="Q259" s="8" t="n">
        <x:f>P259*E259</x:f>
        <x:v>126</x:v>
      </x:c>
      <x:c r="R259" s="8" t="n">
        <x:f>I259*E259</x:f>
        <x:v>0</x:v>
      </x:c>
      <x:c r="S259" s="8" t="n">
        <x:f>O259*E259</x:f>
        <x:v>0</x:v>
      </x:c>
      <x:c r="T259" s="2" t="n">
        <x:f>IF(A259&lt;DATE(2025,12,1),"",IF(D259="Closed",0,ROUND(AVERAGEIFS('Daily inputs'!$F$2:$F$367,'Daily inputs'!$B$2:$B$367,B259,'Daily inputs'!$C$2:$C$367,C259,'Daily inputs'!$D$2:$D$367,"Training"),0)))</x:f>
        <x:v>39</x:v>
      </x:c>
      <x:c r="U259" s="2" t="n">
        <x:f>IF(A259&lt;DATE(2025,12,1),"",ROUND(T259*IF(D259="Christmas",Notes!$B$9,Notes!$B$8),0))</x:f>
        <x:v>41</x:v>
      </x:c>
      <x:c r="V259" s="2" t="n">
        <x:f>IF(A259&lt;DATE(2025,12,1),"",ABS(T259-F259))</x:f>
        <x:v>3</x:v>
      </x:c>
      <x:c r="W259" s="2" t="n">
        <x:f>IF(A259&lt;DATE(2025,12,1),"",ABS(U259-F259))</x:f>
        <x:v>1</x:v>
      </x:c>
      <x:c r="X259" s="2" t="n">
        <x:f>IF(A259&lt;DATE(2025,12,1),"",T259-F259)</x:f>
        <x:v>-3</x:v>
      </x:c>
      <x:c r="Y259" s="2" t="n">
        <x:f>IF(A259&lt;DATE(2025,12,1),"",U259-F259)</x:f>
        <x:v>-1</x:v>
      </x:c>
      <x:c r="Z259" s="2" t="n">
        <x:f>IF(N259&gt;0,1,0)</x:f>
        <x:v>0</x:v>
      </x:c>
    </x:row>
    <x:row r="260" ht="21" customHeight="1">
      <x:c r="A260" s="6" t="n">
        <x:f>'Daily inputs'!A260</x:f>
        <x:v>46005</x:v>
      </x:c>
      <x:c r="B260" s="2" t="str">
        <x:f>'Daily inputs'!B260</x:f>
        <x:v>I01</x:v>
      </x:c>
      <x:c r="C260" s="2" t="n">
        <x:f>'Daily inputs'!C260</x:f>
        <x:v>7</x:v>
      </x:c>
      <x:c r="D260" s="2" t="str">
        <x:f>'Daily inputs'!D260</x:f>
        <x:v>December normal</x:v>
      </x:c>
      <x:c r="E260" s="7" t="n">
        <x:f>'Daily inputs'!E260</x:f>
        <x:v>8.5</x:v>
      </x:c>
      <x:c r="F260" s="2" t="n">
        <x:f>'Daily inputs'!F260</x:f>
        <x:v>82</x:v>
      </x:c>
      <x:c r="G260" s="2" t="n">
        <x:f>'Daily inputs'!G260</x:f>
        <x:v>15</x:v>
      </x:c>
      <x:c r="H260" s="2" t="n">
        <x:f>'Daily inputs'!H260</x:f>
        <x:v>79</x:v>
      </x:c>
      <x:c r="I260" s="2" t="n">
        <x:f>'Daily inputs'!I260</x:f>
        <x:v>0</x:v>
      </x:c>
      <x:c r="J260" s="2" t="n">
        <x:f>'Daily inputs'!J260</x:f>
        <x:v>0</x:v>
      </x:c>
      <x:c r="K260" s="2" t="n">
        <x:f>'Daily inputs'!K260</x:f>
        <x:v>0</x:v>
      </x:c>
      <x:c r="L260" s="2" t="n">
        <x:f>MIN(F260,G260+H260-I260)</x:f>
        <x:v>82</x:v>
      </x:c>
      <x:c r="M260" s="2" t="n">
        <x:f>G260+H260-L260-I260</x:f>
        <x:v>12</x:v>
      </x:c>
      <x:c r="N260" s="2" t="n">
        <x:f>F260-L260</x:f>
        <x:v>0</x:v>
      </x:c>
      <x:c r="O260" s="2" t="n">
        <x:f>N260-J260</x:f>
        <x:v>0</x:v>
      </x:c>
      <x:c r="P260" s="2" t="n">
        <x:f>L260+I260</x:f>
        <x:v>82</x:v>
      </x:c>
      <x:c r="Q260" s="8" t="n">
        <x:f>P260*E260</x:f>
        <x:v>697</x:v>
      </x:c>
      <x:c r="R260" s="8" t="n">
        <x:f>I260*E260</x:f>
        <x:v>0</x:v>
      </x:c>
      <x:c r="S260" s="8" t="n">
        <x:f>O260*E260</x:f>
        <x:v>0</x:v>
      </x:c>
      <x:c r="T260" s="2" t="n">
        <x:f>IF(A260&lt;DATE(2025,12,1),"",IF(D260="Closed",0,ROUND(AVERAGEIFS('Daily inputs'!$F$2:$F$367,'Daily inputs'!$B$2:$B$367,B260,'Daily inputs'!$C$2:$C$367,C260,'Daily inputs'!$D$2:$D$367,"Training"),0)))</x:f>
        <x:v>80</x:v>
      </x:c>
      <x:c r="U260" s="2" t="n">
        <x:f>IF(A260&lt;DATE(2025,12,1),"",ROUND(T260*IF(D260="Christmas",Notes!$B$9,Notes!$B$8),0))</x:f>
        <x:v>83</x:v>
      </x:c>
      <x:c r="V260" s="2" t="n">
        <x:f>IF(A260&lt;DATE(2025,12,1),"",ABS(T260-F260))</x:f>
        <x:v>2</x:v>
      </x:c>
      <x:c r="W260" s="2" t="n">
        <x:f>IF(A260&lt;DATE(2025,12,1),"",ABS(U260-F260))</x:f>
        <x:v>1</x:v>
      </x:c>
      <x:c r="X260" s="2" t="n">
        <x:f>IF(A260&lt;DATE(2025,12,1),"",T260-F260)</x:f>
        <x:v>-2</x:v>
      </x:c>
      <x:c r="Y260" s="2" t="n">
        <x:f>IF(A260&lt;DATE(2025,12,1),"",U260-F260)</x:f>
        <x:v>1</x:v>
      </x:c>
      <x:c r="Z260" s="2" t="n">
        <x:f>IF(N260&gt;0,1,0)</x:f>
        <x:v>0</x:v>
      </x:c>
    </x:row>
    <x:row r="261" ht="21" customHeight="1">
      <x:c r="A261" s="6" t="n">
        <x:f>'Daily inputs'!A261</x:f>
        <x:v>46005</x:v>
      </x:c>
      <x:c r="B261" s="2" t="str">
        <x:f>'Daily inputs'!B261</x:f>
        <x:v>I02</x:v>
      </x:c>
      <x:c r="C261" s="2" t="n">
        <x:f>'Daily inputs'!C261</x:f>
        <x:v>7</x:v>
      </x:c>
      <x:c r="D261" s="2" t="str">
        <x:f>'Daily inputs'!D261</x:f>
        <x:v>December normal</x:v>
      </x:c>
      <x:c r="E261" s="7" t="n">
        <x:f>'Daily inputs'!E261</x:f>
        <x:v>8</x:v>
      </x:c>
      <x:c r="F261" s="2" t="n">
        <x:f>'Daily inputs'!F261</x:f>
        <x:v>66</x:v>
      </x:c>
      <x:c r="G261" s="2" t="n">
        <x:f>'Daily inputs'!G261</x:f>
        <x:v>12</x:v>
      </x:c>
      <x:c r="H261" s="2" t="n">
        <x:f>'Daily inputs'!H261</x:f>
        <x:v>64</x:v>
      </x:c>
      <x:c r="I261" s="2" t="n">
        <x:f>'Daily inputs'!I261</x:f>
        <x:v>0</x:v>
      </x:c>
      <x:c r="J261" s="2" t="n">
        <x:f>'Daily inputs'!J261</x:f>
        <x:v>0</x:v>
      </x:c>
      <x:c r="K261" s="2" t="n">
        <x:f>'Daily inputs'!K261</x:f>
        <x:v>0</x:v>
      </x:c>
      <x:c r="L261" s="2" t="n">
        <x:f>MIN(F261,G261+H261-I261)</x:f>
        <x:v>66</x:v>
      </x:c>
      <x:c r="M261" s="2" t="n">
        <x:f>G261+H261-L261-I261</x:f>
        <x:v>10</x:v>
      </x:c>
      <x:c r="N261" s="2" t="n">
        <x:f>F261-L261</x:f>
        <x:v>0</x:v>
      </x:c>
      <x:c r="O261" s="2" t="n">
        <x:f>N261-J261</x:f>
        <x:v>0</x:v>
      </x:c>
      <x:c r="P261" s="2" t="n">
        <x:f>L261+I261</x:f>
        <x:v>66</x:v>
      </x:c>
      <x:c r="Q261" s="8" t="n">
        <x:f>P261*E261</x:f>
        <x:v>528</x:v>
      </x:c>
      <x:c r="R261" s="8" t="n">
        <x:f>I261*E261</x:f>
        <x:v>0</x:v>
      </x:c>
      <x:c r="S261" s="8" t="n">
        <x:f>O261*E261</x:f>
        <x:v>0</x:v>
      </x:c>
      <x:c r="T261" s="2" t="n">
        <x:f>IF(A261&lt;DATE(2025,12,1),"",IF(D261="Closed",0,ROUND(AVERAGEIFS('Daily inputs'!$F$2:$F$367,'Daily inputs'!$B$2:$B$367,B261,'Daily inputs'!$C$2:$C$367,C261,'Daily inputs'!$D$2:$D$367,"Training"),0)))</x:f>
        <x:v>64</x:v>
      </x:c>
      <x:c r="U261" s="2" t="n">
        <x:f>IF(A261&lt;DATE(2025,12,1),"",ROUND(T261*IF(D261="Christmas",Notes!$B$9,Notes!$B$8),0))</x:f>
        <x:v>67</x:v>
      </x:c>
      <x:c r="V261" s="2" t="n">
        <x:f>IF(A261&lt;DATE(2025,12,1),"",ABS(T261-F261))</x:f>
        <x:v>2</x:v>
      </x:c>
      <x:c r="W261" s="2" t="n">
        <x:f>IF(A261&lt;DATE(2025,12,1),"",ABS(U261-F261))</x:f>
        <x:v>1</x:v>
      </x:c>
      <x:c r="X261" s="2" t="n">
        <x:f>IF(A261&lt;DATE(2025,12,1),"",T261-F261)</x:f>
        <x:v>-2</x:v>
      </x:c>
      <x:c r="Y261" s="2" t="n">
        <x:f>IF(A261&lt;DATE(2025,12,1),"",U261-F261)</x:f>
        <x:v>1</x:v>
      </x:c>
      <x:c r="Z261" s="2" t="n">
        <x:f>IF(N261&gt;0,1,0)</x:f>
        <x:v>0</x:v>
      </x:c>
    </x:row>
    <x:row r="262" ht="21" customHeight="1">
      <x:c r="A262" s="6" t="n">
        <x:f>'Daily inputs'!A262</x:f>
        <x:v>46005</x:v>
      </x:c>
      <x:c r="B262" s="2" t="str">
        <x:f>'Daily inputs'!B262</x:f>
        <x:v>I03</x:v>
      </x:c>
      <x:c r="C262" s="2" t="n">
        <x:f>'Daily inputs'!C262</x:f>
        <x:v>7</x:v>
      </x:c>
      <x:c r="D262" s="2" t="str">
        <x:f>'Daily inputs'!D262</x:f>
        <x:v>December normal</x:v>
      </x:c>
      <x:c r="E262" s="7" t="n">
        <x:f>'Daily inputs'!E262</x:f>
        <x:v>7.5</x:v>
      </x:c>
      <x:c r="F262" s="2" t="n">
        <x:f>'Daily inputs'!F262</x:f>
        <x:v>40</x:v>
      </x:c>
      <x:c r="G262" s="2" t="n">
        <x:f>'Daily inputs'!G262</x:f>
        <x:v>7</x:v>
      </x:c>
      <x:c r="H262" s="2" t="n">
        <x:f>'Daily inputs'!H262</x:f>
        <x:v>39</x:v>
      </x:c>
      <x:c r="I262" s="2" t="n">
        <x:f>'Daily inputs'!I262</x:f>
        <x:v>0</x:v>
      </x:c>
      <x:c r="J262" s="2" t="n">
        <x:f>'Daily inputs'!J262</x:f>
        <x:v>0</x:v>
      </x:c>
      <x:c r="K262" s="2" t="n">
        <x:f>'Daily inputs'!K262</x:f>
        <x:v>0</x:v>
      </x:c>
      <x:c r="L262" s="2" t="n">
        <x:f>MIN(F262,G262+H262-I262)</x:f>
        <x:v>40</x:v>
      </x:c>
      <x:c r="M262" s="2" t="n">
        <x:f>G262+H262-L262-I262</x:f>
        <x:v>6</x:v>
      </x:c>
      <x:c r="N262" s="2" t="n">
        <x:f>F262-L262</x:f>
        <x:v>0</x:v>
      </x:c>
      <x:c r="O262" s="2" t="n">
        <x:f>N262-J262</x:f>
        <x:v>0</x:v>
      </x:c>
      <x:c r="P262" s="2" t="n">
        <x:f>L262+I262</x:f>
        <x:v>40</x:v>
      </x:c>
      <x:c r="Q262" s="8" t="n">
        <x:f>P262*E262</x:f>
        <x:v>300</x:v>
      </x:c>
      <x:c r="R262" s="8" t="n">
        <x:f>I262*E262</x:f>
        <x:v>0</x:v>
      </x:c>
      <x:c r="S262" s="8" t="n">
        <x:f>O262*E262</x:f>
        <x:v>0</x:v>
      </x:c>
      <x:c r="T262" s="2" t="n">
        <x:f>IF(A262&lt;DATE(2025,12,1),"",IF(D262="Closed",0,ROUND(AVERAGEIFS('Daily inputs'!$F$2:$F$367,'Daily inputs'!$B$2:$B$367,B262,'Daily inputs'!$C$2:$C$367,C262,'Daily inputs'!$D$2:$D$367,"Training"),0)))</x:f>
        <x:v>38</x:v>
      </x:c>
      <x:c r="U262" s="2" t="n">
        <x:f>IF(A262&lt;DATE(2025,12,1),"",ROUND(T262*IF(D262="Christmas",Notes!$B$9,Notes!$B$8),0))</x:f>
        <x:v>40</x:v>
      </x:c>
      <x:c r="V262" s="2" t="n">
        <x:f>IF(A262&lt;DATE(2025,12,1),"",ABS(T262-F262))</x:f>
        <x:v>2</x:v>
      </x:c>
      <x:c r="W262" s="2" t="n">
        <x:f>IF(A262&lt;DATE(2025,12,1),"",ABS(U262-F262))</x:f>
        <x:v>0</x:v>
      </x:c>
      <x:c r="X262" s="2" t="n">
        <x:f>IF(A262&lt;DATE(2025,12,1),"",T262-F262)</x:f>
        <x:v>-2</x:v>
      </x:c>
      <x:c r="Y262" s="2" t="n">
        <x:f>IF(A262&lt;DATE(2025,12,1),"",U262-F262)</x:f>
        <x:v>0</x:v>
      </x:c>
      <x:c r="Z262" s="2" t="n">
        <x:f>IF(N262&gt;0,1,0)</x:f>
        <x:v>0</x:v>
      </x:c>
    </x:row>
    <x:row r="263" ht="21" customHeight="1">
      <x:c r="A263" s="6" t="n">
        <x:f>'Daily inputs'!A263</x:f>
        <x:v>46005</x:v>
      </x:c>
      <x:c r="B263" s="2" t="str">
        <x:f>'Daily inputs'!B263</x:f>
        <x:v>I04</x:v>
      </x:c>
      <x:c r="C263" s="2" t="n">
        <x:f>'Daily inputs'!C263</x:f>
        <x:v>7</x:v>
      </x:c>
      <x:c r="D263" s="2" t="str">
        <x:f>'Daily inputs'!D263</x:f>
        <x:v>December normal</x:v>
      </x:c>
      <x:c r="E263" s="7" t="n">
        <x:f>'Daily inputs'!E263</x:f>
        <x:v>9</x:v>
      </x:c>
      <x:c r="F263" s="2" t="n">
        <x:f>'Daily inputs'!F263</x:f>
        <x:v>44</x:v>
      </x:c>
      <x:c r="G263" s="2" t="n">
        <x:f>'Daily inputs'!G263</x:f>
        <x:v>9</x:v>
      </x:c>
      <x:c r="H263" s="2" t="n">
        <x:f>'Daily inputs'!H263</x:f>
        <x:v>42</x:v>
      </x:c>
      <x:c r="I263" s="2" t="n">
        <x:f>'Daily inputs'!I263</x:f>
        <x:v>0</x:v>
      </x:c>
      <x:c r="J263" s="2" t="n">
        <x:f>'Daily inputs'!J263</x:f>
        <x:v>0</x:v>
      </x:c>
      <x:c r="K263" s="2" t="n">
        <x:f>'Daily inputs'!K263</x:f>
        <x:v>0</x:v>
      </x:c>
      <x:c r="L263" s="2" t="n">
        <x:f>MIN(F263,G263+H263-I263)</x:f>
        <x:v>44</x:v>
      </x:c>
      <x:c r="M263" s="2" t="n">
        <x:f>G263+H263-L263-I263</x:f>
        <x:v>7</x:v>
      </x:c>
      <x:c r="N263" s="2" t="n">
        <x:f>F263-L263</x:f>
        <x:v>0</x:v>
      </x:c>
      <x:c r="O263" s="2" t="n">
        <x:f>N263-J263</x:f>
        <x:v>0</x:v>
      </x:c>
      <x:c r="P263" s="2" t="n">
        <x:f>L263+I263</x:f>
        <x:v>44</x:v>
      </x:c>
      <x:c r="Q263" s="8" t="n">
        <x:f>P263*E263</x:f>
        <x:v>396</x:v>
      </x:c>
      <x:c r="R263" s="8" t="n">
        <x:f>I263*E263</x:f>
        <x:v>0</x:v>
      </x:c>
      <x:c r="S263" s="8" t="n">
        <x:f>O263*E263</x:f>
        <x:v>0</x:v>
      </x:c>
      <x:c r="T263" s="2" t="n">
        <x:f>IF(A263&lt;DATE(2025,12,1),"",IF(D263="Closed",0,ROUND(AVERAGEIFS('Daily inputs'!$F$2:$F$367,'Daily inputs'!$B$2:$B$367,B263,'Daily inputs'!$C$2:$C$367,C263,'Daily inputs'!$D$2:$D$367,"Training"),0)))</x:f>
        <x:v>44</x:v>
      </x:c>
      <x:c r="U263" s="2" t="n">
        <x:f>IF(A263&lt;DATE(2025,12,1),"",ROUND(T263*IF(D263="Christmas",Notes!$B$9,Notes!$B$8),0))</x:f>
        <x:v>46</x:v>
      </x:c>
      <x:c r="V263" s="2" t="n">
        <x:f>IF(A263&lt;DATE(2025,12,1),"",ABS(T263-F263))</x:f>
        <x:v>0</x:v>
      </x:c>
      <x:c r="W263" s="2" t="n">
        <x:f>IF(A263&lt;DATE(2025,12,1),"",ABS(U263-F263))</x:f>
        <x:v>2</x:v>
      </x:c>
      <x:c r="X263" s="2" t="n">
        <x:f>IF(A263&lt;DATE(2025,12,1),"",T263-F263)</x:f>
        <x:v>0</x:v>
      </x:c>
      <x:c r="Y263" s="2" t="n">
        <x:f>IF(A263&lt;DATE(2025,12,1),"",U263-F263)</x:f>
        <x:v>2</x:v>
      </x:c>
      <x:c r="Z263" s="2" t="n">
        <x:f>IF(N263&gt;0,1,0)</x:f>
        <x:v>0</x:v>
      </x:c>
    </x:row>
    <x:row r="264" ht="21" customHeight="1">
      <x:c r="A264" s="6" t="n">
        <x:f>'Daily inputs'!A264</x:f>
        <x:v>46005</x:v>
      </x:c>
      <x:c r="B264" s="2" t="str">
        <x:f>'Daily inputs'!B264</x:f>
        <x:v>I05</x:v>
      </x:c>
      <x:c r="C264" s="2" t="n">
        <x:f>'Daily inputs'!C264</x:f>
        <x:v>7</x:v>
      </x:c>
      <x:c r="D264" s="2" t="str">
        <x:f>'Daily inputs'!D264</x:f>
        <x:v>December normal</x:v>
      </x:c>
      <x:c r="E264" s="7" t="n">
        <x:f>'Daily inputs'!E264</x:f>
        <x:v>3.5</x:v>
      </x:c>
      <x:c r="F264" s="2" t="n">
        <x:f>'Daily inputs'!F264</x:f>
        <x:v>98</x:v>
      </x:c>
      <x:c r="G264" s="2" t="n">
        <x:f>'Daily inputs'!G264</x:f>
        <x:v>17</x:v>
      </x:c>
      <x:c r="H264" s="2" t="n">
        <x:f>'Daily inputs'!H264</x:f>
        <x:v>96</x:v>
      </x:c>
      <x:c r="I264" s="2" t="n">
        <x:f>'Daily inputs'!I264</x:f>
        <x:v>0</x:v>
      </x:c>
      <x:c r="J264" s="2" t="n">
        <x:f>'Daily inputs'!J264</x:f>
        <x:v>0</x:v>
      </x:c>
      <x:c r="K264" s="2" t="n">
        <x:f>'Daily inputs'!K264</x:f>
        <x:v>0</x:v>
      </x:c>
      <x:c r="L264" s="2" t="n">
        <x:f>MIN(F264,G264+H264-I264)</x:f>
        <x:v>98</x:v>
      </x:c>
      <x:c r="M264" s="2" t="n">
        <x:f>G264+H264-L264-I264</x:f>
        <x:v>15</x:v>
      </x:c>
      <x:c r="N264" s="2" t="n">
        <x:f>F264-L264</x:f>
        <x:v>0</x:v>
      </x:c>
      <x:c r="O264" s="2" t="n">
        <x:f>N264-J264</x:f>
        <x:v>0</x:v>
      </x:c>
      <x:c r="P264" s="2" t="n">
        <x:f>L264+I264</x:f>
        <x:v>98</x:v>
      </x:c>
      <x:c r="Q264" s="8" t="n">
        <x:f>P264*E264</x:f>
        <x:v>343</x:v>
      </x:c>
      <x:c r="R264" s="8" t="n">
        <x:f>I264*E264</x:f>
        <x:v>0</x:v>
      </x:c>
      <x:c r="S264" s="8" t="n">
        <x:f>O264*E264</x:f>
        <x:v>0</x:v>
      </x:c>
      <x:c r="T264" s="2" t="n">
        <x:f>IF(A264&lt;DATE(2025,12,1),"",IF(D264="Closed",0,ROUND(AVERAGEIFS('Daily inputs'!$F$2:$F$367,'Daily inputs'!$B$2:$B$367,B264,'Daily inputs'!$C$2:$C$367,C264,'Daily inputs'!$D$2:$D$367,"Training"),0)))</x:f>
        <x:v>89</x:v>
      </x:c>
      <x:c r="U264" s="2" t="n">
        <x:f>IF(A264&lt;DATE(2025,12,1),"",ROUND(T264*IF(D264="Christmas",Notes!$B$9,Notes!$B$8),0))</x:f>
        <x:v>93</x:v>
      </x:c>
      <x:c r="V264" s="2" t="n">
        <x:f>IF(A264&lt;DATE(2025,12,1),"",ABS(T264-F264))</x:f>
        <x:v>9</x:v>
      </x:c>
      <x:c r="W264" s="2" t="n">
        <x:f>IF(A264&lt;DATE(2025,12,1),"",ABS(U264-F264))</x:f>
        <x:v>5</x:v>
      </x:c>
      <x:c r="X264" s="2" t="n">
        <x:f>IF(A264&lt;DATE(2025,12,1),"",T264-F264)</x:f>
        <x:v>-9</x:v>
      </x:c>
      <x:c r="Y264" s="2" t="n">
        <x:f>IF(A264&lt;DATE(2025,12,1),"",U264-F264)</x:f>
        <x:v>-5</x:v>
      </x:c>
      <x:c r="Z264" s="2" t="n">
        <x:f>IF(N264&gt;0,1,0)</x:f>
        <x:v>0</x:v>
      </x:c>
    </x:row>
    <x:row r="265" ht="21" customHeight="1">
      <x:c r="A265" s="6" t="n">
        <x:f>'Daily inputs'!A265</x:f>
        <x:v>46005</x:v>
      </x:c>
      <x:c r="B265" s="2" t="str">
        <x:f>'Daily inputs'!B265</x:f>
        <x:v>I06</x:v>
      </x:c>
      <x:c r="C265" s="2" t="n">
        <x:f>'Daily inputs'!C265</x:f>
        <x:v>7</x:v>
      </x:c>
      <x:c r="D265" s="2" t="str">
        <x:f>'Daily inputs'!D265</x:f>
        <x:v>December normal</x:v>
      </x:c>
      <x:c r="E265" s="7" t="n">
        <x:f>'Daily inputs'!E265</x:f>
        <x:v>3</x:v>
      </x:c>
      <x:c r="F265" s="2" t="n">
        <x:f>'Daily inputs'!F265</x:f>
        <x:v>37</x:v>
      </x:c>
      <x:c r="G265" s="2" t="n">
        <x:f>'Daily inputs'!G265</x:f>
        <x:v>6</x:v>
      </x:c>
      <x:c r="H265" s="2" t="n">
        <x:f>'Daily inputs'!H265</x:f>
        <x:v>37</x:v>
      </x:c>
      <x:c r="I265" s="2" t="n">
        <x:f>'Daily inputs'!I265</x:f>
        <x:v>0</x:v>
      </x:c>
      <x:c r="J265" s="2" t="n">
        <x:f>'Daily inputs'!J265</x:f>
        <x:v>0</x:v>
      </x:c>
      <x:c r="K265" s="2" t="n">
        <x:f>'Daily inputs'!K265</x:f>
        <x:v>0</x:v>
      </x:c>
      <x:c r="L265" s="2" t="n">
        <x:f>MIN(F265,G265+H265-I265)</x:f>
        <x:v>37</x:v>
      </x:c>
      <x:c r="M265" s="2" t="n">
        <x:f>G265+H265-L265-I265</x:f>
        <x:v>6</x:v>
      </x:c>
      <x:c r="N265" s="2" t="n">
        <x:f>F265-L265</x:f>
        <x:v>0</x:v>
      </x:c>
      <x:c r="O265" s="2" t="n">
        <x:f>N265-J265</x:f>
        <x:v>0</x:v>
      </x:c>
      <x:c r="P265" s="2" t="n">
        <x:f>L265+I265</x:f>
        <x:v>37</x:v>
      </x:c>
      <x:c r="Q265" s="8" t="n">
        <x:f>P265*E265</x:f>
        <x:v>111</x:v>
      </x:c>
      <x:c r="R265" s="8" t="n">
        <x:f>I265*E265</x:f>
        <x:v>0</x:v>
      </x:c>
      <x:c r="S265" s="8" t="n">
        <x:f>O265*E265</x:f>
        <x:v>0</x:v>
      </x:c>
      <x:c r="T265" s="2" t="n">
        <x:f>IF(A265&lt;DATE(2025,12,1),"",IF(D265="Closed",0,ROUND(AVERAGEIFS('Daily inputs'!$F$2:$F$367,'Daily inputs'!$B$2:$B$367,B265,'Daily inputs'!$C$2:$C$367,C265,'Daily inputs'!$D$2:$D$367,"Training"),0)))</x:f>
        <x:v>34</x:v>
      </x:c>
      <x:c r="U265" s="2" t="n">
        <x:f>IF(A265&lt;DATE(2025,12,1),"",ROUND(T265*IF(D265="Christmas",Notes!$B$9,Notes!$B$8),0))</x:f>
        <x:v>35</x:v>
      </x:c>
      <x:c r="V265" s="2" t="n">
        <x:f>IF(A265&lt;DATE(2025,12,1),"",ABS(T265-F265))</x:f>
        <x:v>3</x:v>
      </x:c>
      <x:c r="W265" s="2" t="n">
        <x:f>IF(A265&lt;DATE(2025,12,1),"",ABS(U265-F265))</x:f>
        <x:v>2</x:v>
      </x:c>
      <x:c r="X265" s="2" t="n">
        <x:f>IF(A265&lt;DATE(2025,12,1),"",T265-F265)</x:f>
        <x:v>-3</x:v>
      </x:c>
      <x:c r="Y265" s="2" t="n">
        <x:f>IF(A265&lt;DATE(2025,12,1),"",U265-F265)</x:f>
        <x:v>-2</x:v>
      </x:c>
      <x:c r="Z265" s="2" t="n">
        <x:f>IF(N265&gt;0,1,0)</x:f>
        <x:v>0</x:v>
      </x:c>
    </x:row>
    <x:row r="266" ht="21" customHeight="1">
      <x:c r="A266" s="6" t="n">
        <x:f>'Daily inputs'!A266</x:f>
        <x:v>46006</x:v>
      </x:c>
      <x:c r="B266" s="2" t="str">
        <x:f>'Daily inputs'!B266</x:f>
        <x:v>I01</x:v>
      </x:c>
      <x:c r="C266" s="2" t="n">
        <x:f>'Daily inputs'!C266</x:f>
        <x:v>1</x:v>
      </x:c>
      <x:c r="D266" s="2" t="str">
        <x:f>'Daily inputs'!D266</x:f>
        <x:v>December normal</x:v>
      </x:c>
      <x:c r="E266" s="7" t="n">
        <x:f>'Daily inputs'!E266</x:f>
        <x:v>8.5</x:v>
      </x:c>
      <x:c r="F266" s="2" t="n">
        <x:f>'Daily inputs'!F266</x:f>
        <x:v>67</x:v>
      </x:c>
      <x:c r="G266" s="2" t="n">
        <x:f>'Daily inputs'!G266</x:f>
        <x:v>12</x:v>
      </x:c>
      <x:c r="H266" s="2" t="n">
        <x:f>'Daily inputs'!H266</x:f>
        <x:v>65</x:v>
      </x:c>
      <x:c r="I266" s="2" t="n">
        <x:f>'Daily inputs'!I266</x:f>
        <x:v>0</x:v>
      </x:c>
      <x:c r="J266" s="2" t="n">
        <x:f>'Daily inputs'!J266</x:f>
        <x:v>0</x:v>
      </x:c>
      <x:c r="K266" s="2" t="n">
        <x:f>'Daily inputs'!K266</x:f>
        <x:v>0</x:v>
      </x:c>
      <x:c r="L266" s="2" t="n">
        <x:f>MIN(F266,G266+H266-I266)</x:f>
        <x:v>67</x:v>
      </x:c>
      <x:c r="M266" s="2" t="n">
        <x:f>G266+H266-L266-I266</x:f>
        <x:v>10</x:v>
      </x:c>
      <x:c r="N266" s="2" t="n">
        <x:f>F266-L266</x:f>
        <x:v>0</x:v>
      </x:c>
      <x:c r="O266" s="2" t="n">
        <x:f>N266-J266</x:f>
        <x:v>0</x:v>
      </x:c>
      <x:c r="P266" s="2" t="n">
        <x:f>L266+I266</x:f>
        <x:v>67</x:v>
      </x:c>
      <x:c r="Q266" s="8" t="n">
        <x:f>P266*E266</x:f>
        <x:v>569.5</x:v>
      </x:c>
      <x:c r="R266" s="8" t="n">
        <x:f>I266*E266</x:f>
        <x:v>0</x:v>
      </x:c>
      <x:c r="S266" s="8" t="n">
        <x:f>O266*E266</x:f>
        <x:v>0</x:v>
      </x:c>
      <x:c r="T266" s="2" t="n">
        <x:f>IF(A266&lt;DATE(2025,12,1),"",IF(D266="Closed",0,ROUND(AVERAGEIFS('Daily inputs'!$F$2:$F$367,'Daily inputs'!$B$2:$B$367,B266,'Daily inputs'!$C$2:$C$367,C266,'Daily inputs'!$D$2:$D$367,"Training"),0)))</x:f>
        <x:v>60</x:v>
      </x:c>
      <x:c r="U266" s="2" t="n">
        <x:f>IF(A266&lt;DATE(2025,12,1),"",ROUND(T266*IF(D266="Christmas",Notes!$B$9,Notes!$B$8),0))</x:f>
        <x:v>62</x:v>
      </x:c>
      <x:c r="V266" s="2" t="n">
        <x:f>IF(A266&lt;DATE(2025,12,1),"",ABS(T266-F266))</x:f>
        <x:v>7</x:v>
      </x:c>
      <x:c r="W266" s="2" t="n">
        <x:f>IF(A266&lt;DATE(2025,12,1),"",ABS(U266-F266))</x:f>
        <x:v>5</x:v>
      </x:c>
      <x:c r="X266" s="2" t="n">
        <x:f>IF(A266&lt;DATE(2025,12,1),"",T266-F266)</x:f>
        <x:v>-7</x:v>
      </x:c>
      <x:c r="Y266" s="2" t="n">
        <x:f>IF(A266&lt;DATE(2025,12,1),"",U266-F266)</x:f>
        <x:v>-5</x:v>
      </x:c>
      <x:c r="Z266" s="2" t="n">
        <x:f>IF(N266&gt;0,1,0)</x:f>
        <x:v>0</x:v>
      </x:c>
    </x:row>
    <x:row r="267" ht="21" customHeight="1">
      <x:c r="A267" s="6" t="n">
        <x:f>'Daily inputs'!A267</x:f>
        <x:v>46006</x:v>
      </x:c>
      <x:c r="B267" s="2" t="str">
        <x:f>'Daily inputs'!B267</x:f>
        <x:v>I02</x:v>
      </x:c>
      <x:c r="C267" s="2" t="n">
        <x:f>'Daily inputs'!C267</x:f>
        <x:v>1</x:v>
      </x:c>
      <x:c r="D267" s="2" t="str">
        <x:f>'Daily inputs'!D267</x:f>
        <x:v>December normal</x:v>
      </x:c>
      <x:c r="E267" s="7" t="n">
        <x:f>'Daily inputs'!E267</x:f>
        <x:v>8</x:v>
      </x:c>
      <x:c r="F267" s="2" t="n">
        <x:f>'Daily inputs'!F267</x:f>
        <x:v>50</x:v>
      </x:c>
      <x:c r="G267" s="2" t="n">
        <x:f>'Daily inputs'!G267</x:f>
        <x:v>10</x:v>
      </x:c>
      <x:c r="H267" s="2" t="n">
        <x:f>'Daily inputs'!H267</x:f>
        <x:v>47</x:v>
      </x:c>
      <x:c r="I267" s="2" t="n">
        <x:f>'Daily inputs'!I267</x:f>
        <x:v>0</x:v>
      </x:c>
      <x:c r="J267" s="2" t="n">
        <x:f>'Daily inputs'!J267</x:f>
        <x:v>0</x:v>
      </x:c>
      <x:c r="K267" s="2" t="n">
        <x:f>'Daily inputs'!K267</x:f>
        <x:v>0</x:v>
      </x:c>
      <x:c r="L267" s="2" t="n">
        <x:f>MIN(F267,G267+H267-I267)</x:f>
        <x:v>50</x:v>
      </x:c>
      <x:c r="M267" s="2" t="n">
        <x:f>G267+H267-L267-I267</x:f>
        <x:v>7</x:v>
      </x:c>
      <x:c r="N267" s="2" t="n">
        <x:f>F267-L267</x:f>
        <x:v>0</x:v>
      </x:c>
      <x:c r="O267" s="2" t="n">
        <x:f>N267-J267</x:f>
        <x:v>0</x:v>
      </x:c>
      <x:c r="P267" s="2" t="n">
        <x:f>L267+I267</x:f>
        <x:v>50</x:v>
      </x:c>
      <x:c r="Q267" s="8" t="n">
        <x:f>P267*E267</x:f>
        <x:v>400</x:v>
      </x:c>
      <x:c r="R267" s="8" t="n">
        <x:f>I267*E267</x:f>
        <x:v>0</x:v>
      </x:c>
      <x:c r="S267" s="8" t="n">
        <x:f>O267*E267</x:f>
        <x:v>0</x:v>
      </x:c>
      <x:c r="T267" s="2" t="n">
        <x:f>IF(A267&lt;DATE(2025,12,1),"",IF(D267="Closed",0,ROUND(AVERAGEIFS('Daily inputs'!$F$2:$F$367,'Daily inputs'!$B$2:$B$367,B267,'Daily inputs'!$C$2:$C$367,C267,'Daily inputs'!$D$2:$D$367,"Training"),0)))</x:f>
        <x:v>50</x:v>
      </x:c>
      <x:c r="U267" s="2" t="n">
        <x:f>IF(A267&lt;DATE(2025,12,1),"",ROUND(T267*IF(D267="Christmas",Notes!$B$9,Notes!$B$8),0))</x:f>
        <x:v>52</x:v>
      </x:c>
      <x:c r="V267" s="2" t="n">
        <x:f>IF(A267&lt;DATE(2025,12,1),"",ABS(T267-F267))</x:f>
        <x:v>0</x:v>
      </x:c>
      <x:c r="W267" s="2" t="n">
        <x:f>IF(A267&lt;DATE(2025,12,1),"",ABS(U267-F267))</x:f>
        <x:v>2</x:v>
      </x:c>
      <x:c r="X267" s="2" t="n">
        <x:f>IF(A267&lt;DATE(2025,12,1),"",T267-F267)</x:f>
        <x:v>0</x:v>
      </x:c>
      <x:c r="Y267" s="2" t="n">
        <x:f>IF(A267&lt;DATE(2025,12,1),"",U267-F267)</x:f>
        <x:v>2</x:v>
      </x:c>
      <x:c r="Z267" s="2" t="n">
        <x:f>IF(N267&gt;0,1,0)</x:f>
        <x:v>0</x:v>
      </x:c>
    </x:row>
    <x:row r="268" ht="21" customHeight="1">
      <x:c r="A268" s="6" t="n">
        <x:f>'Daily inputs'!A268</x:f>
        <x:v>46006</x:v>
      </x:c>
      <x:c r="B268" s="2" t="str">
        <x:f>'Daily inputs'!B268</x:f>
        <x:v>I03</x:v>
      </x:c>
      <x:c r="C268" s="2" t="n">
        <x:f>'Daily inputs'!C268</x:f>
        <x:v>1</x:v>
      </x:c>
      <x:c r="D268" s="2" t="str">
        <x:f>'Daily inputs'!D268</x:f>
        <x:v>December normal</x:v>
      </x:c>
      <x:c r="E268" s="7" t="n">
        <x:f>'Daily inputs'!E268</x:f>
        <x:v>7.5</x:v>
      </x:c>
      <x:c r="F268" s="2" t="n">
        <x:f>'Daily inputs'!F268</x:f>
        <x:v>31</x:v>
      </x:c>
      <x:c r="G268" s="2" t="n">
        <x:f>'Daily inputs'!G268</x:f>
        <x:v>6</x:v>
      </x:c>
      <x:c r="H268" s="2" t="n">
        <x:f>'Daily inputs'!H268</x:f>
        <x:v>30</x:v>
      </x:c>
      <x:c r="I268" s="2" t="n">
        <x:f>'Daily inputs'!I268</x:f>
        <x:v>0</x:v>
      </x:c>
      <x:c r="J268" s="2" t="n">
        <x:f>'Daily inputs'!J268</x:f>
        <x:v>0</x:v>
      </x:c>
      <x:c r="K268" s="2" t="n">
        <x:f>'Daily inputs'!K268</x:f>
        <x:v>0</x:v>
      </x:c>
      <x:c r="L268" s="2" t="n">
        <x:f>MIN(F268,G268+H268-I268)</x:f>
        <x:v>31</x:v>
      </x:c>
      <x:c r="M268" s="2" t="n">
        <x:f>G268+H268-L268-I268</x:f>
        <x:v>5</x:v>
      </x:c>
      <x:c r="N268" s="2" t="n">
        <x:f>F268-L268</x:f>
        <x:v>0</x:v>
      </x:c>
      <x:c r="O268" s="2" t="n">
        <x:f>N268-J268</x:f>
        <x:v>0</x:v>
      </x:c>
      <x:c r="P268" s="2" t="n">
        <x:f>L268+I268</x:f>
        <x:v>31</x:v>
      </x:c>
      <x:c r="Q268" s="8" t="n">
        <x:f>P268*E268</x:f>
        <x:v>232.5</x:v>
      </x:c>
      <x:c r="R268" s="8" t="n">
        <x:f>I268*E268</x:f>
        <x:v>0</x:v>
      </x:c>
      <x:c r="S268" s="8" t="n">
        <x:f>O268*E268</x:f>
        <x:v>0</x:v>
      </x:c>
      <x:c r="T268" s="2" t="n">
        <x:f>IF(A268&lt;DATE(2025,12,1),"",IF(D268="Closed",0,ROUND(AVERAGEIFS('Daily inputs'!$F$2:$F$367,'Daily inputs'!$B$2:$B$367,B268,'Daily inputs'!$C$2:$C$367,C268,'Daily inputs'!$D$2:$D$367,"Training"),0)))</x:f>
        <x:v>29</x:v>
      </x:c>
      <x:c r="U268" s="2" t="n">
        <x:f>IF(A268&lt;DATE(2025,12,1),"",ROUND(T268*IF(D268="Christmas",Notes!$B$9,Notes!$B$8),0))</x:f>
        <x:v>30</x:v>
      </x:c>
      <x:c r="V268" s="2" t="n">
        <x:f>IF(A268&lt;DATE(2025,12,1),"",ABS(T268-F268))</x:f>
        <x:v>2</x:v>
      </x:c>
      <x:c r="W268" s="2" t="n">
        <x:f>IF(A268&lt;DATE(2025,12,1),"",ABS(U268-F268))</x:f>
        <x:v>1</x:v>
      </x:c>
      <x:c r="X268" s="2" t="n">
        <x:f>IF(A268&lt;DATE(2025,12,1),"",T268-F268)</x:f>
        <x:v>-2</x:v>
      </x:c>
      <x:c r="Y268" s="2" t="n">
        <x:f>IF(A268&lt;DATE(2025,12,1),"",U268-F268)</x:f>
        <x:v>-1</x:v>
      </x:c>
      <x:c r="Z268" s="2" t="n">
        <x:f>IF(N268&gt;0,1,0)</x:f>
        <x:v>0</x:v>
      </x:c>
    </x:row>
    <x:row r="269" ht="21" customHeight="1">
      <x:c r="A269" s="6" t="n">
        <x:f>'Daily inputs'!A269</x:f>
        <x:v>46006</x:v>
      </x:c>
      <x:c r="B269" s="2" t="str">
        <x:f>'Daily inputs'!B269</x:f>
        <x:v>I04</x:v>
      </x:c>
      <x:c r="C269" s="2" t="n">
        <x:f>'Daily inputs'!C269</x:f>
        <x:v>1</x:v>
      </x:c>
      <x:c r="D269" s="2" t="str">
        <x:f>'Daily inputs'!D269</x:f>
        <x:v>December normal</x:v>
      </x:c>
      <x:c r="E269" s="7" t="n">
        <x:f>'Daily inputs'!E269</x:f>
        <x:v>9</x:v>
      </x:c>
      <x:c r="F269" s="2" t="n">
        <x:f>'Daily inputs'!F269</x:f>
        <x:v>37</x:v>
      </x:c>
      <x:c r="G269" s="2" t="n">
        <x:f>'Daily inputs'!G269</x:f>
        <x:v>7</x:v>
      </x:c>
      <x:c r="H269" s="2" t="n">
        <x:f>'Daily inputs'!H269</x:f>
        <x:v>36</x:v>
      </x:c>
      <x:c r="I269" s="2" t="n">
        <x:f>'Daily inputs'!I269</x:f>
        <x:v>0</x:v>
      </x:c>
      <x:c r="J269" s="2" t="n">
        <x:f>'Daily inputs'!J269</x:f>
        <x:v>0</x:v>
      </x:c>
      <x:c r="K269" s="2" t="n">
        <x:f>'Daily inputs'!K269</x:f>
        <x:v>0</x:v>
      </x:c>
      <x:c r="L269" s="2" t="n">
        <x:f>MIN(F269,G269+H269-I269)</x:f>
        <x:v>37</x:v>
      </x:c>
      <x:c r="M269" s="2" t="n">
        <x:f>G269+H269-L269-I269</x:f>
        <x:v>6</x:v>
      </x:c>
      <x:c r="N269" s="2" t="n">
        <x:f>F269-L269</x:f>
        <x:v>0</x:v>
      </x:c>
      <x:c r="O269" s="2" t="n">
        <x:f>N269-J269</x:f>
        <x:v>0</x:v>
      </x:c>
      <x:c r="P269" s="2" t="n">
        <x:f>L269+I269</x:f>
        <x:v>37</x:v>
      </x:c>
      <x:c r="Q269" s="8" t="n">
        <x:f>P269*E269</x:f>
        <x:v>333</x:v>
      </x:c>
      <x:c r="R269" s="8" t="n">
        <x:f>I269*E269</x:f>
        <x:v>0</x:v>
      </x:c>
      <x:c r="S269" s="8" t="n">
        <x:f>O269*E269</x:f>
        <x:v>0</x:v>
      </x:c>
      <x:c r="T269" s="2" t="n">
        <x:f>IF(A269&lt;DATE(2025,12,1),"",IF(D269="Closed",0,ROUND(AVERAGEIFS('Daily inputs'!$F$2:$F$367,'Daily inputs'!$B$2:$B$367,B269,'Daily inputs'!$C$2:$C$367,C269,'Daily inputs'!$D$2:$D$367,"Training"),0)))</x:f>
        <x:v>33</x:v>
      </x:c>
      <x:c r="U269" s="2" t="n">
        <x:f>IF(A269&lt;DATE(2025,12,1),"",ROUND(T269*IF(D269="Christmas",Notes!$B$9,Notes!$B$8),0))</x:f>
        <x:v>34</x:v>
      </x:c>
      <x:c r="V269" s="2" t="n">
        <x:f>IF(A269&lt;DATE(2025,12,1),"",ABS(T269-F269))</x:f>
        <x:v>4</x:v>
      </x:c>
      <x:c r="W269" s="2" t="n">
        <x:f>IF(A269&lt;DATE(2025,12,1),"",ABS(U269-F269))</x:f>
        <x:v>3</x:v>
      </x:c>
      <x:c r="X269" s="2" t="n">
        <x:f>IF(A269&lt;DATE(2025,12,1),"",T269-F269)</x:f>
        <x:v>-4</x:v>
      </x:c>
      <x:c r="Y269" s="2" t="n">
        <x:f>IF(A269&lt;DATE(2025,12,1),"",U269-F269)</x:f>
        <x:v>-3</x:v>
      </x:c>
      <x:c r="Z269" s="2" t="n">
        <x:f>IF(N269&gt;0,1,0)</x:f>
        <x:v>0</x:v>
      </x:c>
    </x:row>
    <x:row r="270" ht="21" customHeight="1">
      <x:c r="A270" s="6" t="n">
        <x:f>'Daily inputs'!A270</x:f>
        <x:v>46006</x:v>
      </x:c>
      <x:c r="B270" s="2" t="str">
        <x:f>'Daily inputs'!B270</x:f>
        <x:v>I05</x:v>
      </x:c>
      <x:c r="C270" s="2" t="n">
        <x:f>'Daily inputs'!C270</x:f>
        <x:v>1</x:v>
      </x:c>
      <x:c r="D270" s="2" t="str">
        <x:f>'Daily inputs'!D270</x:f>
        <x:v>December normal</x:v>
      </x:c>
      <x:c r="E270" s="7" t="n">
        <x:f>'Daily inputs'!E270</x:f>
        <x:v>3.5</x:v>
      </x:c>
      <x:c r="F270" s="2" t="n">
        <x:f>'Daily inputs'!F270</x:f>
        <x:v>75</x:v>
      </x:c>
      <x:c r="G270" s="2" t="n">
        <x:f>'Daily inputs'!G270</x:f>
        <x:v>15</x:v>
      </x:c>
      <x:c r="H270" s="2" t="n">
        <x:f>'Daily inputs'!H270</x:f>
        <x:v>71</x:v>
      </x:c>
      <x:c r="I270" s="2" t="n">
        <x:f>'Daily inputs'!I270</x:f>
        <x:v>0</x:v>
      </x:c>
      <x:c r="J270" s="2" t="n">
        <x:f>'Daily inputs'!J270</x:f>
        <x:v>0</x:v>
      </x:c>
      <x:c r="K270" s="2" t="n">
        <x:f>'Daily inputs'!K270</x:f>
        <x:v>0</x:v>
      </x:c>
      <x:c r="L270" s="2" t="n">
        <x:f>MIN(F270,G270+H270-I270)</x:f>
        <x:v>75</x:v>
      </x:c>
      <x:c r="M270" s="2" t="n">
        <x:f>G270+H270-L270-I270</x:f>
        <x:v>11</x:v>
      </x:c>
      <x:c r="N270" s="2" t="n">
        <x:f>F270-L270</x:f>
        <x:v>0</x:v>
      </x:c>
      <x:c r="O270" s="2" t="n">
        <x:f>N270-J270</x:f>
        <x:v>0</x:v>
      </x:c>
      <x:c r="P270" s="2" t="n">
        <x:f>L270+I270</x:f>
        <x:v>75</x:v>
      </x:c>
      <x:c r="Q270" s="8" t="n">
        <x:f>P270*E270</x:f>
        <x:v>262.5</x:v>
      </x:c>
      <x:c r="R270" s="8" t="n">
        <x:f>I270*E270</x:f>
        <x:v>0</x:v>
      </x:c>
      <x:c r="S270" s="8" t="n">
        <x:f>O270*E270</x:f>
        <x:v>0</x:v>
      </x:c>
      <x:c r="T270" s="2" t="n">
        <x:f>IF(A270&lt;DATE(2025,12,1),"",IF(D270="Closed",0,ROUND(AVERAGEIFS('Daily inputs'!$F$2:$F$367,'Daily inputs'!$B$2:$B$367,B270,'Daily inputs'!$C$2:$C$367,C270,'Daily inputs'!$D$2:$D$367,"Training"),0)))</x:f>
        <x:v>69</x:v>
      </x:c>
      <x:c r="U270" s="2" t="n">
        <x:f>IF(A270&lt;DATE(2025,12,1),"",ROUND(T270*IF(D270="Christmas",Notes!$B$9,Notes!$B$8),0))</x:f>
        <x:v>72</x:v>
      </x:c>
      <x:c r="V270" s="2" t="n">
        <x:f>IF(A270&lt;DATE(2025,12,1),"",ABS(T270-F270))</x:f>
        <x:v>6</x:v>
      </x:c>
      <x:c r="W270" s="2" t="n">
        <x:f>IF(A270&lt;DATE(2025,12,1),"",ABS(U270-F270))</x:f>
        <x:v>3</x:v>
      </x:c>
      <x:c r="X270" s="2" t="n">
        <x:f>IF(A270&lt;DATE(2025,12,1),"",T270-F270)</x:f>
        <x:v>-6</x:v>
      </x:c>
      <x:c r="Y270" s="2" t="n">
        <x:f>IF(A270&lt;DATE(2025,12,1),"",U270-F270)</x:f>
        <x:v>-3</x:v>
      </x:c>
      <x:c r="Z270" s="2" t="n">
        <x:f>IF(N270&gt;0,1,0)</x:f>
        <x:v>0</x:v>
      </x:c>
    </x:row>
    <x:row r="271" ht="21" customHeight="1">
      <x:c r="A271" s="6" t="n">
        <x:f>'Daily inputs'!A271</x:f>
        <x:v>46006</x:v>
      </x:c>
      <x:c r="B271" s="2" t="str">
        <x:f>'Daily inputs'!B271</x:f>
        <x:v>I06</x:v>
      </x:c>
      <x:c r="C271" s="2" t="n">
        <x:f>'Daily inputs'!C271</x:f>
        <x:v>1</x:v>
      </x:c>
      <x:c r="D271" s="2" t="str">
        <x:f>'Daily inputs'!D271</x:f>
        <x:v>December normal</x:v>
      </x:c>
      <x:c r="E271" s="7" t="n">
        <x:f>'Daily inputs'!E271</x:f>
        <x:v>3</x:v>
      </x:c>
      <x:c r="F271" s="2" t="n">
        <x:f>'Daily inputs'!F271</x:f>
        <x:v>28</x:v>
      </x:c>
      <x:c r="G271" s="2" t="n">
        <x:f>'Daily inputs'!G271</x:f>
        <x:v>6</x:v>
      </x:c>
      <x:c r="H271" s="2" t="n">
        <x:f>'Daily inputs'!H271</x:f>
        <x:v>26</x:v>
      </x:c>
      <x:c r="I271" s="2" t="n">
        <x:f>'Daily inputs'!I271</x:f>
        <x:v>0</x:v>
      </x:c>
      <x:c r="J271" s="2" t="n">
        <x:f>'Daily inputs'!J271</x:f>
        <x:v>0</x:v>
      </x:c>
      <x:c r="K271" s="2" t="n">
        <x:f>'Daily inputs'!K271</x:f>
        <x:v>0</x:v>
      </x:c>
      <x:c r="L271" s="2" t="n">
        <x:f>MIN(F271,G271+H271-I271)</x:f>
        <x:v>28</x:v>
      </x:c>
      <x:c r="M271" s="2" t="n">
        <x:f>G271+H271-L271-I271</x:f>
        <x:v>4</x:v>
      </x:c>
      <x:c r="N271" s="2" t="n">
        <x:f>F271-L271</x:f>
        <x:v>0</x:v>
      </x:c>
      <x:c r="O271" s="2" t="n">
        <x:f>N271-J271</x:f>
        <x:v>0</x:v>
      </x:c>
      <x:c r="P271" s="2" t="n">
        <x:f>L271+I271</x:f>
        <x:v>28</x:v>
      </x:c>
      <x:c r="Q271" s="8" t="n">
        <x:f>P271*E271</x:f>
        <x:v>84</x:v>
      </x:c>
      <x:c r="R271" s="8" t="n">
        <x:f>I271*E271</x:f>
        <x:v>0</x:v>
      </x:c>
      <x:c r="S271" s="8" t="n">
        <x:f>O271*E271</x:f>
        <x:v>0</x:v>
      </x:c>
      <x:c r="T271" s="2" t="n">
        <x:f>IF(A271&lt;DATE(2025,12,1),"",IF(D271="Closed",0,ROUND(AVERAGEIFS('Daily inputs'!$F$2:$F$367,'Daily inputs'!$B$2:$B$367,B271,'Daily inputs'!$C$2:$C$367,C271,'Daily inputs'!$D$2:$D$367,"Training"),0)))</x:f>
        <x:v>26</x:v>
      </x:c>
      <x:c r="U271" s="2" t="n">
        <x:f>IF(A271&lt;DATE(2025,12,1),"",ROUND(T271*IF(D271="Christmas",Notes!$B$9,Notes!$B$8),0))</x:f>
        <x:v>27</x:v>
      </x:c>
      <x:c r="V271" s="2" t="n">
        <x:f>IF(A271&lt;DATE(2025,12,1),"",ABS(T271-F271))</x:f>
        <x:v>2</x:v>
      </x:c>
      <x:c r="W271" s="2" t="n">
        <x:f>IF(A271&lt;DATE(2025,12,1),"",ABS(U271-F271))</x:f>
        <x:v>1</x:v>
      </x:c>
      <x:c r="X271" s="2" t="n">
        <x:f>IF(A271&lt;DATE(2025,12,1),"",T271-F271)</x:f>
        <x:v>-2</x:v>
      </x:c>
      <x:c r="Y271" s="2" t="n">
        <x:f>IF(A271&lt;DATE(2025,12,1),"",U271-F271)</x:f>
        <x:v>-1</x:v>
      </x:c>
      <x:c r="Z271" s="2" t="n">
        <x:f>IF(N271&gt;0,1,0)</x:f>
        <x:v>0</x:v>
      </x:c>
    </x:row>
    <x:row r="272" ht="21" customHeight="1">
      <x:c r="A272" s="6" t="n">
        <x:f>'Daily inputs'!A272</x:f>
        <x:v>46007</x:v>
      </x:c>
      <x:c r="B272" s="2" t="str">
        <x:f>'Daily inputs'!B272</x:f>
        <x:v>I01</x:v>
      </x:c>
      <x:c r="C272" s="2" t="n">
        <x:f>'Daily inputs'!C272</x:f>
        <x:v>2</x:v>
      </x:c>
      <x:c r="D272" s="2" t="str">
        <x:f>'Daily inputs'!D272</x:f>
        <x:v>December normal</x:v>
      </x:c>
      <x:c r="E272" s="7" t="n">
        <x:f>'Daily inputs'!E272</x:f>
        <x:v>8.5</x:v>
      </x:c>
      <x:c r="F272" s="2" t="n">
        <x:f>'Daily inputs'!F272</x:f>
        <x:v>70</x:v>
      </x:c>
      <x:c r="G272" s="2" t="n">
        <x:f>'Daily inputs'!G272</x:f>
        <x:v>10</x:v>
      </x:c>
      <x:c r="H272" s="2" t="n">
        <x:f>'Daily inputs'!H272</x:f>
        <x:v>71</x:v>
      </x:c>
      <x:c r="I272" s="2" t="n">
        <x:f>'Daily inputs'!I272</x:f>
        <x:v>0</x:v>
      </x:c>
      <x:c r="J272" s="2" t="n">
        <x:f>'Daily inputs'!J272</x:f>
        <x:v>0</x:v>
      </x:c>
      <x:c r="K272" s="2" t="n">
        <x:f>'Daily inputs'!K272</x:f>
        <x:v>0</x:v>
      </x:c>
      <x:c r="L272" s="2" t="n">
        <x:f>MIN(F272,G272+H272-I272)</x:f>
        <x:v>70</x:v>
      </x:c>
      <x:c r="M272" s="2" t="n">
        <x:f>G272+H272-L272-I272</x:f>
        <x:v>11</x:v>
      </x:c>
      <x:c r="N272" s="2" t="n">
        <x:f>F272-L272</x:f>
        <x:v>0</x:v>
      </x:c>
      <x:c r="O272" s="2" t="n">
        <x:f>N272-J272</x:f>
        <x:v>0</x:v>
      </x:c>
      <x:c r="P272" s="2" t="n">
        <x:f>L272+I272</x:f>
        <x:v>70</x:v>
      </x:c>
      <x:c r="Q272" s="8" t="n">
        <x:f>P272*E272</x:f>
        <x:v>595</x:v>
      </x:c>
      <x:c r="R272" s="8" t="n">
        <x:f>I272*E272</x:f>
        <x:v>0</x:v>
      </x:c>
      <x:c r="S272" s="8" t="n">
        <x:f>O272*E272</x:f>
        <x:v>0</x:v>
      </x:c>
      <x:c r="T272" s="2" t="n">
        <x:f>IF(A272&lt;DATE(2025,12,1),"",IF(D272="Closed",0,ROUND(AVERAGEIFS('Daily inputs'!$F$2:$F$367,'Daily inputs'!$B$2:$B$367,B272,'Daily inputs'!$C$2:$C$367,C272,'Daily inputs'!$D$2:$D$367,"Training"),0)))</x:f>
        <x:v>65</x:v>
      </x:c>
      <x:c r="U272" s="2" t="n">
        <x:f>IF(A272&lt;DATE(2025,12,1),"",ROUND(T272*IF(D272="Christmas",Notes!$B$9,Notes!$B$8),0))</x:f>
        <x:v>68</x:v>
      </x:c>
      <x:c r="V272" s="2" t="n">
        <x:f>IF(A272&lt;DATE(2025,12,1),"",ABS(T272-F272))</x:f>
        <x:v>5</x:v>
      </x:c>
      <x:c r="W272" s="2" t="n">
        <x:f>IF(A272&lt;DATE(2025,12,1),"",ABS(U272-F272))</x:f>
        <x:v>2</x:v>
      </x:c>
      <x:c r="X272" s="2" t="n">
        <x:f>IF(A272&lt;DATE(2025,12,1),"",T272-F272)</x:f>
        <x:v>-5</x:v>
      </x:c>
      <x:c r="Y272" s="2" t="n">
        <x:f>IF(A272&lt;DATE(2025,12,1),"",U272-F272)</x:f>
        <x:v>-2</x:v>
      </x:c>
      <x:c r="Z272" s="2" t="n">
        <x:f>IF(N272&gt;0,1,0)</x:f>
        <x:v>0</x:v>
      </x:c>
    </x:row>
    <x:row r="273" ht="21" customHeight="1">
      <x:c r="A273" s="6" t="n">
        <x:f>'Daily inputs'!A273</x:f>
        <x:v>46007</x:v>
      </x:c>
      <x:c r="B273" s="2" t="str">
        <x:f>'Daily inputs'!B273</x:f>
        <x:v>I02</x:v>
      </x:c>
      <x:c r="C273" s="2" t="n">
        <x:f>'Daily inputs'!C273</x:f>
        <x:v>2</x:v>
      </x:c>
      <x:c r="D273" s="2" t="str">
        <x:f>'Daily inputs'!D273</x:f>
        <x:v>December normal</x:v>
      </x:c>
      <x:c r="E273" s="7" t="n">
        <x:f>'Daily inputs'!E273</x:f>
        <x:v>8</x:v>
      </x:c>
      <x:c r="F273" s="2" t="n">
        <x:f>'Daily inputs'!F273</x:f>
        <x:v>52</x:v>
      </x:c>
      <x:c r="G273" s="2" t="n">
        <x:f>'Daily inputs'!G273</x:f>
        <x:v>7</x:v>
      </x:c>
      <x:c r="H273" s="2" t="n">
        <x:f>'Daily inputs'!H273</x:f>
        <x:v>53</x:v>
      </x:c>
      <x:c r="I273" s="2" t="n">
        <x:f>'Daily inputs'!I273</x:f>
        <x:v>0</x:v>
      </x:c>
      <x:c r="J273" s="2" t="n">
        <x:f>'Daily inputs'!J273</x:f>
        <x:v>0</x:v>
      </x:c>
      <x:c r="K273" s="2" t="n">
        <x:f>'Daily inputs'!K273</x:f>
        <x:v>0</x:v>
      </x:c>
      <x:c r="L273" s="2" t="n">
        <x:f>MIN(F273,G273+H273-I273)</x:f>
        <x:v>52</x:v>
      </x:c>
      <x:c r="M273" s="2" t="n">
        <x:f>G273+H273-L273-I273</x:f>
        <x:v>8</x:v>
      </x:c>
      <x:c r="N273" s="2" t="n">
        <x:f>F273-L273</x:f>
        <x:v>0</x:v>
      </x:c>
      <x:c r="O273" s="2" t="n">
        <x:f>N273-J273</x:f>
        <x:v>0</x:v>
      </x:c>
      <x:c r="P273" s="2" t="n">
        <x:f>L273+I273</x:f>
        <x:v>52</x:v>
      </x:c>
      <x:c r="Q273" s="8" t="n">
        <x:f>P273*E273</x:f>
        <x:v>416</x:v>
      </x:c>
      <x:c r="R273" s="8" t="n">
        <x:f>I273*E273</x:f>
        <x:v>0</x:v>
      </x:c>
      <x:c r="S273" s="8" t="n">
        <x:f>O273*E273</x:f>
        <x:v>0</x:v>
      </x:c>
      <x:c r="T273" s="2" t="n">
        <x:f>IF(A273&lt;DATE(2025,12,1),"",IF(D273="Closed",0,ROUND(AVERAGEIFS('Daily inputs'!$F$2:$F$367,'Daily inputs'!$B$2:$B$367,B273,'Daily inputs'!$C$2:$C$367,C273,'Daily inputs'!$D$2:$D$367,"Training"),0)))</x:f>
        <x:v>53</x:v>
      </x:c>
      <x:c r="U273" s="2" t="n">
        <x:f>IF(A273&lt;DATE(2025,12,1),"",ROUND(T273*IF(D273="Christmas",Notes!$B$9,Notes!$B$8),0))</x:f>
        <x:v>55</x:v>
      </x:c>
      <x:c r="V273" s="2" t="n">
        <x:f>IF(A273&lt;DATE(2025,12,1),"",ABS(T273-F273))</x:f>
        <x:v>1</x:v>
      </x:c>
      <x:c r="W273" s="2" t="n">
        <x:f>IF(A273&lt;DATE(2025,12,1),"",ABS(U273-F273))</x:f>
        <x:v>3</x:v>
      </x:c>
      <x:c r="X273" s="2" t="n">
        <x:f>IF(A273&lt;DATE(2025,12,1),"",T273-F273)</x:f>
        <x:v>1</x:v>
      </x:c>
      <x:c r="Y273" s="2" t="n">
        <x:f>IF(A273&lt;DATE(2025,12,1),"",U273-F273)</x:f>
        <x:v>3</x:v>
      </x:c>
      <x:c r="Z273" s="2" t="n">
        <x:f>IF(N273&gt;0,1,0)</x:f>
        <x:v>0</x:v>
      </x:c>
    </x:row>
    <x:row r="274" ht="21" customHeight="1">
      <x:c r="A274" s="6" t="n">
        <x:f>'Daily inputs'!A274</x:f>
        <x:v>46007</x:v>
      </x:c>
      <x:c r="B274" s="2" t="str">
        <x:f>'Daily inputs'!B274</x:f>
        <x:v>I03</x:v>
      </x:c>
      <x:c r="C274" s="2" t="n">
        <x:f>'Daily inputs'!C274</x:f>
        <x:v>2</x:v>
      </x:c>
      <x:c r="D274" s="2" t="str">
        <x:f>'Daily inputs'!D274</x:f>
        <x:v>December normal</x:v>
      </x:c>
      <x:c r="E274" s="7" t="n">
        <x:f>'Daily inputs'!E274</x:f>
        <x:v>7.5</x:v>
      </x:c>
      <x:c r="F274" s="2" t="n">
        <x:f>'Daily inputs'!F274</x:f>
        <x:v>32</x:v>
      </x:c>
      <x:c r="G274" s="2" t="n">
        <x:f>'Daily inputs'!G274</x:f>
        <x:v>5</x:v>
      </x:c>
      <x:c r="H274" s="2" t="n">
        <x:f>'Daily inputs'!H274</x:f>
        <x:v>32</x:v>
      </x:c>
      <x:c r="I274" s="2" t="n">
        <x:f>'Daily inputs'!I274</x:f>
        <x:v>0</x:v>
      </x:c>
      <x:c r="J274" s="2" t="n">
        <x:f>'Daily inputs'!J274</x:f>
        <x:v>0</x:v>
      </x:c>
      <x:c r="K274" s="2" t="n">
        <x:f>'Daily inputs'!K274</x:f>
        <x:v>0</x:v>
      </x:c>
      <x:c r="L274" s="2" t="n">
        <x:f>MIN(F274,G274+H274-I274)</x:f>
        <x:v>32</x:v>
      </x:c>
      <x:c r="M274" s="2" t="n">
        <x:f>G274+H274-L274-I274</x:f>
        <x:v>5</x:v>
      </x:c>
      <x:c r="N274" s="2" t="n">
        <x:f>F274-L274</x:f>
        <x:v>0</x:v>
      </x:c>
      <x:c r="O274" s="2" t="n">
        <x:f>N274-J274</x:f>
        <x:v>0</x:v>
      </x:c>
      <x:c r="P274" s="2" t="n">
        <x:f>L274+I274</x:f>
        <x:v>32</x:v>
      </x:c>
      <x:c r="Q274" s="8" t="n">
        <x:f>P274*E274</x:f>
        <x:v>240</x:v>
      </x:c>
      <x:c r="R274" s="8" t="n">
        <x:f>I274*E274</x:f>
        <x:v>0</x:v>
      </x:c>
      <x:c r="S274" s="8" t="n">
        <x:f>O274*E274</x:f>
        <x:v>0</x:v>
      </x:c>
      <x:c r="T274" s="2" t="n">
        <x:f>IF(A274&lt;DATE(2025,12,1),"",IF(D274="Closed",0,ROUND(AVERAGEIFS('Daily inputs'!$F$2:$F$367,'Daily inputs'!$B$2:$B$367,B274,'Daily inputs'!$C$2:$C$367,C274,'Daily inputs'!$D$2:$D$367,"Training"),0)))</x:f>
        <x:v>31</x:v>
      </x:c>
      <x:c r="U274" s="2" t="n">
        <x:f>IF(A274&lt;DATE(2025,12,1),"",ROUND(T274*IF(D274="Christmas",Notes!$B$9,Notes!$B$8),0))</x:f>
        <x:v>32</x:v>
      </x:c>
      <x:c r="V274" s="2" t="n">
        <x:f>IF(A274&lt;DATE(2025,12,1),"",ABS(T274-F274))</x:f>
        <x:v>1</x:v>
      </x:c>
      <x:c r="W274" s="2" t="n">
        <x:f>IF(A274&lt;DATE(2025,12,1),"",ABS(U274-F274))</x:f>
        <x:v>0</x:v>
      </x:c>
      <x:c r="X274" s="2" t="n">
        <x:f>IF(A274&lt;DATE(2025,12,1),"",T274-F274)</x:f>
        <x:v>-1</x:v>
      </x:c>
      <x:c r="Y274" s="2" t="n">
        <x:f>IF(A274&lt;DATE(2025,12,1),"",U274-F274)</x:f>
        <x:v>0</x:v>
      </x:c>
      <x:c r="Z274" s="2" t="n">
        <x:f>IF(N274&gt;0,1,0)</x:f>
        <x:v>0</x:v>
      </x:c>
    </x:row>
    <x:row r="275" ht="21" customHeight="1">
      <x:c r="A275" s="6" t="n">
        <x:f>'Daily inputs'!A275</x:f>
        <x:v>46007</x:v>
      </x:c>
      <x:c r="B275" s="2" t="str">
        <x:f>'Daily inputs'!B275</x:f>
        <x:v>I04</x:v>
      </x:c>
      <x:c r="C275" s="2" t="n">
        <x:f>'Daily inputs'!C275</x:f>
        <x:v>2</x:v>
      </x:c>
      <x:c r="D275" s="2" t="str">
        <x:f>'Daily inputs'!D275</x:f>
        <x:v>December normal</x:v>
      </x:c>
      <x:c r="E275" s="7" t="n">
        <x:f>'Daily inputs'!E275</x:f>
        <x:v>9</x:v>
      </x:c>
      <x:c r="F275" s="2" t="n">
        <x:f>'Daily inputs'!F275</x:f>
        <x:v>37</x:v>
      </x:c>
      <x:c r="G275" s="2" t="n">
        <x:f>'Daily inputs'!G275</x:f>
        <x:v>6</x:v>
      </x:c>
      <x:c r="H275" s="2" t="n">
        <x:f>'Daily inputs'!H275</x:f>
        <x:v>37</x:v>
      </x:c>
      <x:c r="I275" s="2" t="n">
        <x:f>'Daily inputs'!I275</x:f>
        <x:v>0</x:v>
      </x:c>
      <x:c r="J275" s="2" t="n">
        <x:f>'Daily inputs'!J275</x:f>
        <x:v>0</x:v>
      </x:c>
      <x:c r="K275" s="2" t="n">
        <x:f>'Daily inputs'!K275</x:f>
        <x:v>0</x:v>
      </x:c>
      <x:c r="L275" s="2" t="n">
        <x:f>MIN(F275,G275+H275-I275)</x:f>
        <x:v>37</x:v>
      </x:c>
      <x:c r="M275" s="2" t="n">
        <x:f>G275+H275-L275-I275</x:f>
        <x:v>6</x:v>
      </x:c>
      <x:c r="N275" s="2" t="n">
        <x:f>F275-L275</x:f>
        <x:v>0</x:v>
      </x:c>
      <x:c r="O275" s="2" t="n">
        <x:f>N275-J275</x:f>
        <x:v>0</x:v>
      </x:c>
      <x:c r="P275" s="2" t="n">
        <x:f>L275+I275</x:f>
        <x:v>37</x:v>
      </x:c>
      <x:c r="Q275" s="8" t="n">
        <x:f>P275*E275</x:f>
        <x:v>333</x:v>
      </x:c>
      <x:c r="R275" s="8" t="n">
        <x:f>I275*E275</x:f>
        <x:v>0</x:v>
      </x:c>
      <x:c r="S275" s="8" t="n">
        <x:f>O275*E275</x:f>
        <x:v>0</x:v>
      </x:c>
      <x:c r="T275" s="2" t="n">
        <x:f>IF(A275&lt;DATE(2025,12,1),"",IF(D275="Closed",0,ROUND(AVERAGEIFS('Daily inputs'!$F$2:$F$367,'Daily inputs'!$B$2:$B$367,B275,'Daily inputs'!$C$2:$C$367,C275,'Daily inputs'!$D$2:$D$367,"Training"),0)))</x:f>
        <x:v>37</x:v>
      </x:c>
      <x:c r="U275" s="2" t="n">
        <x:f>IF(A275&lt;DATE(2025,12,1),"",ROUND(T275*IF(D275="Christmas",Notes!$B$9,Notes!$B$8),0))</x:f>
        <x:v>38</x:v>
      </x:c>
      <x:c r="V275" s="2" t="n">
        <x:f>IF(A275&lt;DATE(2025,12,1),"",ABS(T275-F275))</x:f>
        <x:v>0</x:v>
      </x:c>
      <x:c r="W275" s="2" t="n">
        <x:f>IF(A275&lt;DATE(2025,12,1),"",ABS(U275-F275))</x:f>
        <x:v>1</x:v>
      </x:c>
      <x:c r="X275" s="2" t="n">
        <x:f>IF(A275&lt;DATE(2025,12,1),"",T275-F275)</x:f>
        <x:v>0</x:v>
      </x:c>
      <x:c r="Y275" s="2" t="n">
        <x:f>IF(A275&lt;DATE(2025,12,1),"",U275-F275)</x:f>
        <x:v>1</x:v>
      </x:c>
      <x:c r="Z275" s="2" t="n">
        <x:f>IF(N275&gt;0,1,0)</x:f>
        <x:v>0</x:v>
      </x:c>
    </x:row>
    <x:row r="276" ht="21" customHeight="1">
      <x:c r="A276" s="6" t="n">
        <x:f>'Daily inputs'!A276</x:f>
        <x:v>46007</x:v>
      </x:c>
      <x:c r="B276" s="2" t="str">
        <x:f>'Daily inputs'!B276</x:f>
        <x:v>I05</x:v>
      </x:c>
      <x:c r="C276" s="2" t="n">
        <x:f>'Daily inputs'!C276</x:f>
        <x:v>2</x:v>
      </x:c>
      <x:c r="D276" s="2" t="str">
        <x:f>'Daily inputs'!D276</x:f>
        <x:v>December normal</x:v>
      </x:c>
      <x:c r="E276" s="7" t="n">
        <x:f>'Daily inputs'!E276</x:f>
        <x:v>3.5</x:v>
      </x:c>
      <x:c r="F276" s="2" t="n">
        <x:f>'Daily inputs'!F276</x:f>
        <x:v>75</x:v>
      </x:c>
      <x:c r="G276" s="2" t="n">
        <x:f>'Daily inputs'!G276</x:f>
        <x:v>11</x:v>
      </x:c>
      <x:c r="H276" s="2" t="n">
        <x:f>'Daily inputs'!H276</x:f>
        <x:v>75</x:v>
      </x:c>
      <x:c r="I276" s="2" t="n">
        <x:f>'Daily inputs'!I276</x:f>
        <x:v>0</x:v>
      </x:c>
      <x:c r="J276" s="2" t="n">
        <x:f>'Daily inputs'!J276</x:f>
        <x:v>0</x:v>
      </x:c>
      <x:c r="K276" s="2" t="n">
        <x:f>'Daily inputs'!K276</x:f>
        <x:v>0</x:v>
      </x:c>
      <x:c r="L276" s="2" t="n">
        <x:f>MIN(F276,G276+H276-I276)</x:f>
        <x:v>75</x:v>
      </x:c>
      <x:c r="M276" s="2" t="n">
        <x:f>G276+H276-L276-I276</x:f>
        <x:v>11</x:v>
      </x:c>
      <x:c r="N276" s="2" t="n">
        <x:f>F276-L276</x:f>
        <x:v>0</x:v>
      </x:c>
      <x:c r="O276" s="2" t="n">
        <x:f>N276-J276</x:f>
        <x:v>0</x:v>
      </x:c>
      <x:c r="P276" s="2" t="n">
        <x:f>L276+I276</x:f>
        <x:v>75</x:v>
      </x:c>
      <x:c r="Q276" s="8" t="n">
        <x:f>P276*E276</x:f>
        <x:v>262.5</x:v>
      </x:c>
      <x:c r="R276" s="8" t="n">
        <x:f>I276*E276</x:f>
        <x:v>0</x:v>
      </x:c>
      <x:c r="S276" s="8" t="n">
        <x:f>O276*E276</x:f>
        <x:v>0</x:v>
      </x:c>
      <x:c r="T276" s="2" t="n">
        <x:f>IF(A276&lt;DATE(2025,12,1),"",IF(D276="Closed",0,ROUND(AVERAGEIFS('Daily inputs'!$F$2:$F$367,'Daily inputs'!$B$2:$B$367,B276,'Daily inputs'!$C$2:$C$367,C276,'Daily inputs'!$D$2:$D$367,"Training"),0)))</x:f>
        <x:v>75</x:v>
      </x:c>
      <x:c r="U276" s="2" t="n">
        <x:f>IF(A276&lt;DATE(2025,12,1),"",ROUND(T276*IF(D276="Christmas",Notes!$B$9,Notes!$B$8),0))</x:f>
        <x:v>78</x:v>
      </x:c>
      <x:c r="V276" s="2" t="n">
        <x:f>IF(A276&lt;DATE(2025,12,1),"",ABS(T276-F276))</x:f>
        <x:v>0</x:v>
      </x:c>
      <x:c r="W276" s="2" t="n">
        <x:f>IF(A276&lt;DATE(2025,12,1),"",ABS(U276-F276))</x:f>
        <x:v>3</x:v>
      </x:c>
      <x:c r="X276" s="2" t="n">
        <x:f>IF(A276&lt;DATE(2025,12,1),"",T276-F276)</x:f>
        <x:v>0</x:v>
      </x:c>
      <x:c r="Y276" s="2" t="n">
        <x:f>IF(A276&lt;DATE(2025,12,1),"",U276-F276)</x:f>
        <x:v>3</x:v>
      </x:c>
      <x:c r="Z276" s="2" t="n">
        <x:f>IF(N276&gt;0,1,0)</x:f>
        <x:v>0</x:v>
      </x:c>
    </x:row>
    <x:row r="277" ht="21" customHeight="1">
      <x:c r="A277" s="6" t="n">
        <x:f>'Daily inputs'!A277</x:f>
        <x:v>46007</x:v>
      </x:c>
      <x:c r="B277" s="2" t="str">
        <x:f>'Daily inputs'!B277</x:f>
        <x:v>I06</x:v>
      </x:c>
      <x:c r="C277" s="2" t="n">
        <x:f>'Daily inputs'!C277</x:f>
        <x:v>2</x:v>
      </x:c>
      <x:c r="D277" s="2" t="str">
        <x:f>'Daily inputs'!D277</x:f>
        <x:v>December normal</x:v>
      </x:c>
      <x:c r="E277" s="7" t="n">
        <x:f>'Daily inputs'!E277</x:f>
        <x:v>3</x:v>
      </x:c>
      <x:c r="F277" s="2" t="n">
        <x:f>'Daily inputs'!F277</x:f>
        <x:v>27</x:v>
      </x:c>
      <x:c r="G277" s="2" t="n">
        <x:f>'Daily inputs'!G277</x:f>
        <x:v>4</x:v>
      </x:c>
      <x:c r="H277" s="2" t="n">
        <x:f>'Daily inputs'!H277</x:f>
        <x:v>27</x:v>
      </x:c>
      <x:c r="I277" s="2" t="n">
        <x:f>'Daily inputs'!I277</x:f>
        <x:v>0</x:v>
      </x:c>
      <x:c r="J277" s="2" t="n">
        <x:f>'Daily inputs'!J277</x:f>
        <x:v>0</x:v>
      </x:c>
      <x:c r="K277" s="2" t="n">
        <x:f>'Daily inputs'!K277</x:f>
        <x:v>0</x:v>
      </x:c>
      <x:c r="L277" s="2" t="n">
        <x:f>MIN(F277,G277+H277-I277)</x:f>
        <x:v>27</x:v>
      </x:c>
      <x:c r="M277" s="2" t="n">
        <x:f>G277+H277-L277-I277</x:f>
        <x:v>4</x:v>
      </x:c>
      <x:c r="N277" s="2" t="n">
        <x:f>F277-L277</x:f>
        <x:v>0</x:v>
      </x:c>
      <x:c r="O277" s="2" t="n">
        <x:f>N277-J277</x:f>
        <x:v>0</x:v>
      </x:c>
      <x:c r="P277" s="2" t="n">
        <x:f>L277+I277</x:f>
        <x:v>27</x:v>
      </x:c>
      <x:c r="Q277" s="8" t="n">
        <x:f>P277*E277</x:f>
        <x:v>81</x:v>
      </x:c>
      <x:c r="R277" s="8" t="n">
        <x:f>I277*E277</x:f>
        <x:v>0</x:v>
      </x:c>
      <x:c r="S277" s="8" t="n">
        <x:f>O277*E277</x:f>
        <x:v>0</x:v>
      </x:c>
      <x:c r="T277" s="2" t="n">
        <x:f>IF(A277&lt;DATE(2025,12,1),"",IF(D277="Closed",0,ROUND(AVERAGEIFS('Daily inputs'!$F$2:$F$367,'Daily inputs'!$B$2:$B$367,B277,'Daily inputs'!$C$2:$C$367,C277,'Daily inputs'!$D$2:$D$367,"Training"),0)))</x:f>
        <x:v>28</x:v>
      </x:c>
      <x:c r="U277" s="2" t="n">
        <x:f>IF(A277&lt;DATE(2025,12,1),"",ROUND(T277*IF(D277="Christmas",Notes!$B$9,Notes!$B$8),0))</x:f>
        <x:v>29</x:v>
      </x:c>
      <x:c r="V277" s="2" t="n">
        <x:f>IF(A277&lt;DATE(2025,12,1),"",ABS(T277-F277))</x:f>
        <x:v>1</x:v>
      </x:c>
      <x:c r="W277" s="2" t="n">
        <x:f>IF(A277&lt;DATE(2025,12,1),"",ABS(U277-F277))</x:f>
        <x:v>2</x:v>
      </x:c>
      <x:c r="X277" s="2" t="n">
        <x:f>IF(A277&lt;DATE(2025,12,1),"",T277-F277)</x:f>
        <x:v>1</x:v>
      </x:c>
      <x:c r="Y277" s="2" t="n">
        <x:f>IF(A277&lt;DATE(2025,12,1),"",U277-F277)</x:f>
        <x:v>2</x:v>
      </x:c>
      <x:c r="Z277" s="2" t="n">
        <x:f>IF(N277&gt;0,1,0)</x:f>
        <x:v>0</x:v>
      </x:c>
    </x:row>
    <x:row r="278" ht="21" customHeight="1">
      <x:c r="A278" s="6" t="n">
        <x:f>'Daily inputs'!A278</x:f>
        <x:v>46008</x:v>
      </x:c>
      <x:c r="B278" s="2" t="str">
        <x:f>'Daily inputs'!B278</x:f>
        <x:v>I01</x:v>
      </x:c>
      <x:c r="C278" s="2" t="n">
        <x:f>'Daily inputs'!C278</x:f>
        <x:v>3</x:v>
      </x:c>
      <x:c r="D278" s="2" t="str">
        <x:f>'Daily inputs'!D278</x:f>
        <x:v>December normal</x:v>
      </x:c>
      <x:c r="E278" s="7" t="n">
        <x:f>'Daily inputs'!E278</x:f>
        <x:v>8.5</x:v>
      </x:c>
      <x:c r="F278" s="2" t="n">
        <x:f>'Daily inputs'!F278</x:f>
        <x:v>71</x:v>
      </x:c>
      <x:c r="G278" s="2" t="n">
        <x:f>'Daily inputs'!G278</x:f>
        <x:v>11</x:v>
      </x:c>
      <x:c r="H278" s="2" t="n">
        <x:f>'Daily inputs'!H278</x:f>
        <x:v>71</x:v>
      </x:c>
      <x:c r="I278" s="2" t="n">
        <x:f>'Daily inputs'!I278</x:f>
        <x:v>0</x:v>
      </x:c>
      <x:c r="J278" s="2" t="n">
        <x:f>'Daily inputs'!J278</x:f>
        <x:v>0</x:v>
      </x:c>
      <x:c r="K278" s="2" t="n">
        <x:f>'Daily inputs'!K278</x:f>
        <x:v>0</x:v>
      </x:c>
      <x:c r="L278" s="2" t="n">
        <x:f>MIN(F278,G278+H278-I278)</x:f>
        <x:v>71</x:v>
      </x:c>
      <x:c r="M278" s="2" t="n">
        <x:f>G278+H278-L278-I278</x:f>
        <x:v>11</x:v>
      </x:c>
      <x:c r="N278" s="2" t="n">
        <x:f>F278-L278</x:f>
        <x:v>0</x:v>
      </x:c>
      <x:c r="O278" s="2" t="n">
        <x:f>N278-J278</x:f>
        <x:v>0</x:v>
      </x:c>
      <x:c r="P278" s="2" t="n">
        <x:f>L278+I278</x:f>
        <x:v>71</x:v>
      </x:c>
      <x:c r="Q278" s="8" t="n">
        <x:f>P278*E278</x:f>
        <x:v>603.5</x:v>
      </x:c>
      <x:c r="R278" s="8" t="n">
        <x:f>I278*E278</x:f>
        <x:v>0</x:v>
      </x:c>
      <x:c r="S278" s="8" t="n">
        <x:f>O278*E278</x:f>
        <x:v>0</x:v>
      </x:c>
      <x:c r="T278" s="2" t="n">
        <x:f>IF(A278&lt;DATE(2025,12,1),"",IF(D278="Closed",0,ROUND(AVERAGEIFS('Daily inputs'!$F$2:$F$367,'Daily inputs'!$B$2:$B$367,B278,'Daily inputs'!$C$2:$C$367,C278,'Daily inputs'!$D$2:$D$367,"Training"),0)))</x:f>
        <x:v>67</x:v>
      </x:c>
      <x:c r="U278" s="2" t="n">
        <x:f>IF(A278&lt;DATE(2025,12,1),"",ROUND(T278*IF(D278="Christmas",Notes!$B$9,Notes!$B$8),0))</x:f>
        <x:v>70</x:v>
      </x:c>
      <x:c r="V278" s="2" t="n">
        <x:f>IF(A278&lt;DATE(2025,12,1),"",ABS(T278-F278))</x:f>
        <x:v>4</x:v>
      </x:c>
      <x:c r="W278" s="2" t="n">
        <x:f>IF(A278&lt;DATE(2025,12,1),"",ABS(U278-F278))</x:f>
        <x:v>1</x:v>
      </x:c>
      <x:c r="X278" s="2" t="n">
        <x:f>IF(A278&lt;DATE(2025,12,1),"",T278-F278)</x:f>
        <x:v>-4</x:v>
      </x:c>
      <x:c r="Y278" s="2" t="n">
        <x:f>IF(A278&lt;DATE(2025,12,1),"",U278-F278)</x:f>
        <x:v>-1</x:v>
      </x:c>
      <x:c r="Z278" s="2" t="n">
        <x:f>IF(N278&gt;0,1,0)</x:f>
        <x:v>0</x:v>
      </x:c>
    </x:row>
    <x:row r="279" ht="21" customHeight="1">
      <x:c r="A279" s="6" t="n">
        <x:f>'Daily inputs'!A279</x:f>
        <x:v>46008</x:v>
      </x:c>
      <x:c r="B279" s="2" t="str">
        <x:f>'Daily inputs'!B279</x:f>
        <x:v>I02</x:v>
      </x:c>
      <x:c r="C279" s="2" t="n">
        <x:f>'Daily inputs'!C279</x:f>
        <x:v>3</x:v>
      </x:c>
      <x:c r="D279" s="2" t="str">
        <x:f>'Daily inputs'!D279</x:f>
        <x:v>December normal</x:v>
      </x:c>
      <x:c r="E279" s="7" t="n">
        <x:f>'Daily inputs'!E279</x:f>
        <x:v>8</x:v>
      </x:c>
      <x:c r="F279" s="2" t="n">
        <x:f>'Daily inputs'!F279</x:f>
        <x:v>55</x:v>
      </x:c>
      <x:c r="G279" s="2" t="n">
        <x:f>'Daily inputs'!G279</x:f>
        <x:v>8</x:v>
      </x:c>
      <x:c r="H279" s="2" t="n">
        <x:f>'Daily inputs'!H279</x:f>
        <x:v>55</x:v>
      </x:c>
      <x:c r="I279" s="2" t="n">
        <x:f>'Daily inputs'!I279</x:f>
        <x:v>0</x:v>
      </x:c>
      <x:c r="J279" s="2" t="n">
        <x:f>'Daily inputs'!J279</x:f>
        <x:v>0</x:v>
      </x:c>
      <x:c r="K279" s="2" t="n">
        <x:f>'Daily inputs'!K279</x:f>
        <x:v>0</x:v>
      </x:c>
      <x:c r="L279" s="2" t="n">
        <x:f>MIN(F279,G279+H279-I279)</x:f>
        <x:v>55</x:v>
      </x:c>
      <x:c r="M279" s="2" t="n">
        <x:f>G279+H279-L279-I279</x:f>
        <x:v>8</x:v>
      </x:c>
      <x:c r="N279" s="2" t="n">
        <x:f>F279-L279</x:f>
        <x:v>0</x:v>
      </x:c>
      <x:c r="O279" s="2" t="n">
        <x:f>N279-J279</x:f>
        <x:v>0</x:v>
      </x:c>
      <x:c r="P279" s="2" t="n">
        <x:f>L279+I279</x:f>
        <x:v>55</x:v>
      </x:c>
      <x:c r="Q279" s="8" t="n">
        <x:f>P279*E279</x:f>
        <x:v>440</x:v>
      </x:c>
      <x:c r="R279" s="8" t="n">
        <x:f>I279*E279</x:f>
        <x:v>0</x:v>
      </x:c>
      <x:c r="S279" s="8" t="n">
        <x:f>O279*E279</x:f>
        <x:v>0</x:v>
      </x:c>
      <x:c r="T279" s="2" t="n">
        <x:f>IF(A279&lt;DATE(2025,12,1),"",IF(D279="Closed",0,ROUND(AVERAGEIFS('Daily inputs'!$F$2:$F$367,'Daily inputs'!$B$2:$B$367,B279,'Daily inputs'!$C$2:$C$367,C279,'Daily inputs'!$D$2:$D$367,"Training"),0)))</x:f>
        <x:v>54</x:v>
      </x:c>
      <x:c r="U279" s="2" t="n">
        <x:f>IF(A279&lt;DATE(2025,12,1),"",ROUND(T279*IF(D279="Christmas",Notes!$B$9,Notes!$B$8),0))</x:f>
        <x:v>56</x:v>
      </x:c>
      <x:c r="V279" s="2" t="n">
        <x:f>IF(A279&lt;DATE(2025,12,1),"",ABS(T279-F279))</x:f>
        <x:v>1</x:v>
      </x:c>
      <x:c r="W279" s="2" t="n">
        <x:f>IF(A279&lt;DATE(2025,12,1),"",ABS(U279-F279))</x:f>
        <x:v>1</x:v>
      </x:c>
      <x:c r="X279" s="2" t="n">
        <x:f>IF(A279&lt;DATE(2025,12,1),"",T279-F279)</x:f>
        <x:v>-1</x:v>
      </x:c>
      <x:c r="Y279" s="2" t="n">
        <x:f>IF(A279&lt;DATE(2025,12,1),"",U279-F279)</x:f>
        <x:v>1</x:v>
      </x:c>
      <x:c r="Z279" s="2" t="n">
        <x:f>IF(N279&gt;0,1,0)</x:f>
        <x:v>0</x:v>
      </x:c>
    </x:row>
    <x:row r="280" ht="21" customHeight="1">
      <x:c r="A280" s="6" t="n">
        <x:f>'Daily inputs'!A280</x:f>
        <x:v>46008</x:v>
      </x:c>
      <x:c r="B280" s="2" t="str">
        <x:f>'Daily inputs'!B280</x:f>
        <x:v>I03</x:v>
      </x:c>
      <x:c r="C280" s="2" t="n">
        <x:f>'Daily inputs'!C280</x:f>
        <x:v>3</x:v>
      </x:c>
      <x:c r="D280" s="2" t="str">
        <x:f>'Daily inputs'!D280</x:f>
        <x:v>December normal</x:v>
      </x:c>
      <x:c r="E280" s="7" t="n">
        <x:f>'Daily inputs'!E280</x:f>
        <x:v>7.5</x:v>
      </x:c>
      <x:c r="F280" s="2" t="n">
        <x:f>'Daily inputs'!F280</x:f>
        <x:v>33</x:v>
      </x:c>
      <x:c r="G280" s="2" t="n">
        <x:f>'Daily inputs'!G280</x:f>
        <x:v>5</x:v>
      </x:c>
      <x:c r="H280" s="2" t="n">
        <x:f>'Daily inputs'!H280</x:f>
        <x:v>33</x:v>
      </x:c>
      <x:c r="I280" s="2" t="n">
        <x:f>'Daily inputs'!I280</x:f>
        <x:v>0</x:v>
      </x:c>
      <x:c r="J280" s="2" t="n">
        <x:f>'Daily inputs'!J280</x:f>
        <x:v>0</x:v>
      </x:c>
      <x:c r="K280" s="2" t="n">
        <x:f>'Daily inputs'!K280</x:f>
        <x:v>0</x:v>
      </x:c>
      <x:c r="L280" s="2" t="n">
        <x:f>MIN(F280,G280+H280-I280)</x:f>
        <x:v>33</x:v>
      </x:c>
      <x:c r="M280" s="2" t="n">
        <x:f>G280+H280-L280-I280</x:f>
        <x:v>5</x:v>
      </x:c>
      <x:c r="N280" s="2" t="n">
        <x:f>F280-L280</x:f>
        <x:v>0</x:v>
      </x:c>
      <x:c r="O280" s="2" t="n">
        <x:f>N280-J280</x:f>
        <x:v>0</x:v>
      </x:c>
      <x:c r="P280" s="2" t="n">
        <x:f>L280+I280</x:f>
        <x:v>33</x:v>
      </x:c>
      <x:c r="Q280" s="8" t="n">
        <x:f>P280*E280</x:f>
        <x:v>247.5</x:v>
      </x:c>
      <x:c r="R280" s="8" t="n">
        <x:f>I280*E280</x:f>
        <x:v>0</x:v>
      </x:c>
      <x:c r="S280" s="8" t="n">
        <x:f>O280*E280</x:f>
        <x:v>0</x:v>
      </x:c>
      <x:c r="T280" s="2" t="n">
        <x:f>IF(A280&lt;DATE(2025,12,1),"",IF(D280="Closed",0,ROUND(AVERAGEIFS('Daily inputs'!$F$2:$F$367,'Daily inputs'!$B$2:$B$367,B280,'Daily inputs'!$C$2:$C$367,C280,'Daily inputs'!$D$2:$D$367,"Training"),0)))</x:f>
        <x:v>32</x:v>
      </x:c>
      <x:c r="U280" s="2" t="n">
        <x:f>IF(A280&lt;DATE(2025,12,1),"",ROUND(T280*IF(D280="Christmas",Notes!$B$9,Notes!$B$8),0))</x:f>
        <x:v>33</x:v>
      </x:c>
      <x:c r="V280" s="2" t="n">
        <x:f>IF(A280&lt;DATE(2025,12,1),"",ABS(T280-F280))</x:f>
        <x:v>1</x:v>
      </x:c>
      <x:c r="W280" s="2" t="n">
        <x:f>IF(A280&lt;DATE(2025,12,1),"",ABS(U280-F280))</x:f>
        <x:v>0</x:v>
      </x:c>
      <x:c r="X280" s="2" t="n">
        <x:f>IF(A280&lt;DATE(2025,12,1),"",T280-F280)</x:f>
        <x:v>-1</x:v>
      </x:c>
      <x:c r="Y280" s="2" t="n">
        <x:f>IF(A280&lt;DATE(2025,12,1),"",U280-F280)</x:f>
        <x:v>0</x:v>
      </x:c>
      <x:c r="Z280" s="2" t="n">
        <x:f>IF(N280&gt;0,1,0)</x:f>
        <x:v>0</x:v>
      </x:c>
    </x:row>
    <x:row r="281" ht="21" customHeight="1">
      <x:c r="A281" s="6" t="n">
        <x:f>'Daily inputs'!A281</x:f>
        <x:v>46008</x:v>
      </x:c>
      <x:c r="B281" s="2" t="str">
        <x:f>'Daily inputs'!B281</x:f>
        <x:v>I04</x:v>
      </x:c>
      <x:c r="C281" s="2" t="n">
        <x:f>'Daily inputs'!C281</x:f>
        <x:v>3</x:v>
      </x:c>
      <x:c r="D281" s="2" t="str">
        <x:f>'Daily inputs'!D281</x:f>
        <x:v>December normal</x:v>
      </x:c>
      <x:c r="E281" s="7" t="n">
        <x:f>'Daily inputs'!E281</x:f>
        <x:v>9</x:v>
      </x:c>
      <x:c r="F281" s="2" t="n">
        <x:f>'Daily inputs'!F281</x:f>
        <x:v>40</x:v>
      </x:c>
      <x:c r="G281" s="2" t="n">
        <x:f>'Daily inputs'!G281</x:f>
        <x:v>6</x:v>
      </x:c>
      <x:c r="H281" s="2" t="n">
        <x:f>'Daily inputs'!H281</x:f>
        <x:v>40</x:v>
      </x:c>
      <x:c r="I281" s="2" t="n">
        <x:f>'Daily inputs'!I281</x:f>
        <x:v>0</x:v>
      </x:c>
      <x:c r="J281" s="2" t="n">
        <x:f>'Daily inputs'!J281</x:f>
        <x:v>0</x:v>
      </x:c>
      <x:c r="K281" s="2" t="n">
        <x:f>'Daily inputs'!K281</x:f>
        <x:v>0</x:v>
      </x:c>
      <x:c r="L281" s="2" t="n">
        <x:f>MIN(F281,G281+H281-I281)</x:f>
        <x:v>40</x:v>
      </x:c>
      <x:c r="M281" s="2" t="n">
        <x:f>G281+H281-L281-I281</x:f>
        <x:v>6</x:v>
      </x:c>
      <x:c r="N281" s="2" t="n">
        <x:f>F281-L281</x:f>
        <x:v>0</x:v>
      </x:c>
      <x:c r="O281" s="2" t="n">
        <x:f>N281-J281</x:f>
        <x:v>0</x:v>
      </x:c>
      <x:c r="P281" s="2" t="n">
        <x:f>L281+I281</x:f>
        <x:v>40</x:v>
      </x:c>
      <x:c r="Q281" s="8" t="n">
        <x:f>P281*E281</x:f>
        <x:v>360</x:v>
      </x:c>
      <x:c r="R281" s="8" t="n">
        <x:f>I281*E281</x:f>
        <x:v>0</x:v>
      </x:c>
      <x:c r="S281" s="8" t="n">
        <x:f>O281*E281</x:f>
        <x:v>0</x:v>
      </x:c>
      <x:c r="T281" s="2" t="n">
        <x:f>IF(A281&lt;DATE(2025,12,1),"",IF(D281="Closed",0,ROUND(AVERAGEIFS('Daily inputs'!$F$2:$F$367,'Daily inputs'!$B$2:$B$367,B281,'Daily inputs'!$C$2:$C$367,C281,'Daily inputs'!$D$2:$D$367,"Training"),0)))</x:f>
        <x:v>37</x:v>
      </x:c>
      <x:c r="U281" s="2" t="n">
        <x:f>IF(A281&lt;DATE(2025,12,1),"",ROUND(T281*IF(D281="Christmas",Notes!$B$9,Notes!$B$8),0))</x:f>
        <x:v>38</x:v>
      </x:c>
      <x:c r="V281" s="2" t="n">
        <x:f>IF(A281&lt;DATE(2025,12,1),"",ABS(T281-F281))</x:f>
        <x:v>3</x:v>
      </x:c>
      <x:c r="W281" s="2" t="n">
        <x:f>IF(A281&lt;DATE(2025,12,1),"",ABS(U281-F281))</x:f>
        <x:v>2</x:v>
      </x:c>
      <x:c r="X281" s="2" t="n">
        <x:f>IF(A281&lt;DATE(2025,12,1),"",T281-F281)</x:f>
        <x:v>-3</x:v>
      </x:c>
      <x:c r="Y281" s="2" t="n">
        <x:f>IF(A281&lt;DATE(2025,12,1),"",U281-F281)</x:f>
        <x:v>-2</x:v>
      </x:c>
      <x:c r="Z281" s="2" t="n">
        <x:f>IF(N281&gt;0,1,0)</x:f>
        <x:v>0</x:v>
      </x:c>
    </x:row>
    <x:row r="282" ht="21" customHeight="1">
      <x:c r="A282" s="6" t="n">
        <x:f>'Daily inputs'!A282</x:f>
        <x:v>46008</x:v>
      </x:c>
      <x:c r="B282" s="2" t="str">
        <x:f>'Daily inputs'!B282</x:f>
        <x:v>I05</x:v>
      </x:c>
      <x:c r="C282" s="2" t="n">
        <x:f>'Daily inputs'!C282</x:f>
        <x:v>3</x:v>
      </x:c>
      <x:c r="D282" s="2" t="str">
        <x:f>'Daily inputs'!D282</x:f>
        <x:v>December normal</x:v>
      </x:c>
      <x:c r="E282" s="7" t="n">
        <x:f>'Daily inputs'!E282</x:f>
        <x:v>3.5</x:v>
      </x:c>
      <x:c r="F282" s="2" t="n">
        <x:f>'Daily inputs'!F282</x:f>
        <x:v>78</x:v>
      </x:c>
      <x:c r="G282" s="2" t="n">
        <x:f>'Daily inputs'!G282</x:f>
        <x:v>11</x:v>
      </x:c>
      <x:c r="H282" s="2" t="n">
        <x:f>'Daily inputs'!H282</x:f>
        <x:v>79</x:v>
      </x:c>
      <x:c r="I282" s="2" t="n">
        <x:f>'Daily inputs'!I282</x:f>
        <x:v>0</x:v>
      </x:c>
      <x:c r="J282" s="2" t="n">
        <x:f>'Daily inputs'!J282</x:f>
        <x:v>0</x:v>
      </x:c>
      <x:c r="K282" s="2" t="n">
        <x:f>'Daily inputs'!K282</x:f>
        <x:v>0</x:v>
      </x:c>
      <x:c r="L282" s="2" t="n">
        <x:f>MIN(F282,G282+H282-I282)</x:f>
        <x:v>78</x:v>
      </x:c>
      <x:c r="M282" s="2" t="n">
        <x:f>G282+H282-L282-I282</x:f>
        <x:v>12</x:v>
      </x:c>
      <x:c r="N282" s="2" t="n">
        <x:f>F282-L282</x:f>
        <x:v>0</x:v>
      </x:c>
      <x:c r="O282" s="2" t="n">
        <x:f>N282-J282</x:f>
        <x:v>0</x:v>
      </x:c>
      <x:c r="P282" s="2" t="n">
        <x:f>L282+I282</x:f>
        <x:v>78</x:v>
      </x:c>
      <x:c r="Q282" s="8" t="n">
        <x:f>P282*E282</x:f>
        <x:v>273</x:v>
      </x:c>
      <x:c r="R282" s="8" t="n">
        <x:f>I282*E282</x:f>
        <x:v>0</x:v>
      </x:c>
      <x:c r="S282" s="8" t="n">
        <x:f>O282*E282</x:f>
        <x:v>0</x:v>
      </x:c>
      <x:c r="T282" s="2" t="n">
        <x:f>IF(A282&lt;DATE(2025,12,1),"",IF(D282="Closed",0,ROUND(AVERAGEIFS('Daily inputs'!$F$2:$F$367,'Daily inputs'!$B$2:$B$367,B282,'Daily inputs'!$C$2:$C$367,C282,'Daily inputs'!$D$2:$D$367,"Training"),0)))</x:f>
        <x:v>76</x:v>
      </x:c>
      <x:c r="U282" s="2" t="n">
        <x:f>IF(A282&lt;DATE(2025,12,1),"",ROUND(T282*IF(D282="Christmas",Notes!$B$9,Notes!$B$8),0))</x:f>
        <x:v>79</x:v>
      </x:c>
      <x:c r="V282" s="2" t="n">
        <x:f>IF(A282&lt;DATE(2025,12,1),"",ABS(T282-F282))</x:f>
        <x:v>2</x:v>
      </x:c>
      <x:c r="W282" s="2" t="n">
        <x:f>IF(A282&lt;DATE(2025,12,1),"",ABS(U282-F282))</x:f>
        <x:v>1</x:v>
      </x:c>
      <x:c r="X282" s="2" t="n">
        <x:f>IF(A282&lt;DATE(2025,12,1),"",T282-F282)</x:f>
        <x:v>-2</x:v>
      </x:c>
      <x:c r="Y282" s="2" t="n">
        <x:f>IF(A282&lt;DATE(2025,12,1),"",U282-F282)</x:f>
        <x:v>1</x:v>
      </x:c>
      <x:c r="Z282" s="2" t="n">
        <x:f>IF(N282&gt;0,1,0)</x:f>
        <x:v>0</x:v>
      </x:c>
    </x:row>
    <x:row r="283" ht="21" customHeight="1">
      <x:c r="A283" s="6" t="n">
        <x:f>'Daily inputs'!A283</x:f>
        <x:v>46008</x:v>
      </x:c>
      <x:c r="B283" s="2" t="str">
        <x:f>'Daily inputs'!B283</x:f>
        <x:v>I06</x:v>
      </x:c>
      <x:c r="C283" s="2" t="n">
        <x:f>'Daily inputs'!C283</x:f>
        <x:v>3</x:v>
      </x:c>
      <x:c r="D283" s="2" t="str">
        <x:f>'Daily inputs'!D283</x:f>
        <x:v>December normal</x:v>
      </x:c>
      <x:c r="E283" s="7" t="n">
        <x:f>'Daily inputs'!E283</x:f>
        <x:v>3</x:v>
      </x:c>
      <x:c r="F283" s="2" t="n">
        <x:f>'Daily inputs'!F283</x:f>
        <x:v>28</x:v>
      </x:c>
      <x:c r="G283" s="2" t="n">
        <x:f>'Daily inputs'!G283</x:f>
        <x:v>4</x:v>
      </x:c>
      <x:c r="H283" s="2" t="n">
        <x:f>'Daily inputs'!H283</x:f>
        <x:v>28</x:v>
      </x:c>
      <x:c r="I283" s="2" t="n">
        <x:f>'Daily inputs'!I283</x:f>
        <x:v>0</x:v>
      </x:c>
      <x:c r="J283" s="2" t="n">
        <x:f>'Daily inputs'!J283</x:f>
        <x:v>0</x:v>
      </x:c>
      <x:c r="K283" s="2" t="n">
        <x:f>'Daily inputs'!K283</x:f>
        <x:v>0</x:v>
      </x:c>
      <x:c r="L283" s="2" t="n">
        <x:f>MIN(F283,G283+H283-I283)</x:f>
        <x:v>28</x:v>
      </x:c>
      <x:c r="M283" s="2" t="n">
        <x:f>G283+H283-L283-I283</x:f>
        <x:v>4</x:v>
      </x:c>
      <x:c r="N283" s="2" t="n">
        <x:f>F283-L283</x:f>
        <x:v>0</x:v>
      </x:c>
      <x:c r="O283" s="2" t="n">
        <x:f>N283-J283</x:f>
        <x:v>0</x:v>
      </x:c>
      <x:c r="P283" s="2" t="n">
        <x:f>L283+I283</x:f>
        <x:v>28</x:v>
      </x:c>
      <x:c r="Q283" s="8" t="n">
        <x:f>P283*E283</x:f>
        <x:v>84</x:v>
      </x:c>
      <x:c r="R283" s="8" t="n">
        <x:f>I283*E283</x:f>
        <x:v>0</x:v>
      </x:c>
      <x:c r="S283" s="8" t="n">
        <x:f>O283*E283</x:f>
        <x:v>0</x:v>
      </x:c>
      <x:c r="T283" s="2" t="n">
        <x:f>IF(A283&lt;DATE(2025,12,1),"",IF(D283="Closed",0,ROUND(AVERAGEIFS('Daily inputs'!$F$2:$F$367,'Daily inputs'!$B$2:$B$367,B283,'Daily inputs'!$C$2:$C$367,C283,'Daily inputs'!$D$2:$D$367,"Training"),0)))</x:f>
        <x:v>29</x:v>
      </x:c>
      <x:c r="U283" s="2" t="n">
        <x:f>IF(A283&lt;DATE(2025,12,1),"",ROUND(T283*IF(D283="Christmas",Notes!$B$9,Notes!$B$8),0))</x:f>
        <x:v>30</x:v>
      </x:c>
      <x:c r="V283" s="2" t="n">
        <x:f>IF(A283&lt;DATE(2025,12,1),"",ABS(T283-F283))</x:f>
        <x:v>1</x:v>
      </x:c>
      <x:c r="W283" s="2" t="n">
        <x:f>IF(A283&lt;DATE(2025,12,1),"",ABS(U283-F283))</x:f>
        <x:v>2</x:v>
      </x:c>
      <x:c r="X283" s="2" t="n">
        <x:f>IF(A283&lt;DATE(2025,12,1),"",T283-F283)</x:f>
        <x:v>1</x:v>
      </x:c>
      <x:c r="Y283" s="2" t="n">
        <x:f>IF(A283&lt;DATE(2025,12,1),"",U283-F283)</x:f>
        <x:v>2</x:v>
      </x:c>
      <x:c r="Z283" s="2" t="n">
        <x:f>IF(N283&gt;0,1,0)</x:f>
        <x:v>0</x:v>
      </x:c>
    </x:row>
    <x:row r="284" ht="21" customHeight="1">
      <x:c r="A284" s="6" t="n">
        <x:f>'Daily inputs'!A284</x:f>
        <x:v>46009</x:v>
      </x:c>
      <x:c r="B284" s="2" t="str">
        <x:f>'Daily inputs'!B284</x:f>
        <x:v>I01</x:v>
      </x:c>
      <x:c r="C284" s="2" t="n">
        <x:f>'Daily inputs'!C284</x:f>
        <x:v>4</x:v>
      </x:c>
      <x:c r="D284" s="2" t="str">
        <x:f>'Daily inputs'!D284</x:f>
        <x:v>December normal</x:v>
      </x:c>
      <x:c r="E284" s="7" t="n">
        <x:f>'Daily inputs'!E284</x:f>
        <x:v>8.5</x:v>
      </x:c>
      <x:c r="F284" s="2" t="n">
        <x:f>'Daily inputs'!F284</x:f>
        <x:v>75</x:v>
      </x:c>
      <x:c r="G284" s="2" t="n">
        <x:f>'Daily inputs'!G284</x:f>
        <x:v>11</x:v>
      </x:c>
      <x:c r="H284" s="2" t="n">
        <x:f>'Daily inputs'!H284</x:f>
        <x:v>75</x:v>
      </x:c>
      <x:c r="I284" s="2" t="n">
        <x:f>'Daily inputs'!I284</x:f>
        <x:v>0</x:v>
      </x:c>
      <x:c r="J284" s="2" t="n">
        <x:f>'Daily inputs'!J284</x:f>
        <x:v>0</x:v>
      </x:c>
      <x:c r="K284" s="2" t="n">
        <x:f>'Daily inputs'!K284</x:f>
        <x:v>0</x:v>
      </x:c>
      <x:c r="L284" s="2" t="n">
        <x:f>MIN(F284,G284+H284-I284)</x:f>
        <x:v>75</x:v>
      </x:c>
      <x:c r="M284" s="2" t="n">
        <x:f>G284+H284-L284-I284</x:f>
        <x:v>11</x:v>
      </x:c>
      <x:c r="N284" s="2" t="n">
        <x:f>F284-L284</x:f>
        <x:v>0</x:v>
      </x:c>
      <x:c r="O284" s="2" t="n">
        <x:f>N284-J284</x:f>
        <x:v>0</x:v>
      </x:c>
      <x:c r="P284" s="2" t="n">
        <x:f>L284+I284</x:f>
        <x:v>75</x:v>
      </x:c>
      <x:c r="Q284" s="8" t="n">
        <x:f>P284*E284</x:f>
        <x:v>637.5</x:v>
      </x:c>
      <x:c r="R284" s="8" t="n">
        <x:f>I284*E284</x:f>
        <x:v>0</x:v>
      </x:c>
      <x:c r="S284" s="8" t="n">
        <x:f>O284*E284</x:f>
        <x:v>0</x:v>
      </x:c>
      <x:c r="T284" s="2" t="n">
        <x:f>IF(A284&lt;DATE(2025,12,1),"",IF(D284="Closed",0,ROUND(AVERAGEIFS('Daily inputs'!$F$2:$F$367,'Daily inputs'!$B$2:$B$367,B284,'Daily inputs'!$C$2:$C$367,C284,'Daily inputs'!$D$2:$D$367,"Training"),0)))</x:f>
        <x:v>70</x:v>
      </x:c>
      <x:c r="U284" s="2" t="n">
        <x:f>IF(A284&lt;DATE(2025,12,1),"",ROUND(T284*IF(D284="Christmas",Notes!$B$9,Notes!$B$8),0))</x:f>
        <x:v>73</x:v>
      </x:c>
      <x:c r="V284" s="2" t="n">
        <x:f>IF(A284&lt;DATE(2025,12,1),"",ABS(T284-F284))</x:f>
        <x:v>5</x:v>
      </x:c>
      <x:c r="W284" s="2" t="n">
        <x:f>IF(A284&lt;DATE(2025,12,1),"",ABS(U284-F284))</x:f>
        <x:v>2</x:v>
      </x:c>
      <x:c r="X284" s="2" t="n">
        <x:f>IF(A284&lt;DATE(2025,12,1),"",T284-F284)</x:f>
        <x:v>-5</x:v>
      </x:c>
      <x:c r="Y284" s="2" t="n">
        <x:f>IF(A284&lt;DATE(2025,12,1),"",U284-F284)</x:f>
        <x:v>-2</x:v>
      </x:c>
      <x:c r="Z284" s="2" t="n">
        <x:f>IF(N284&gt;0,1,0)</x:f>
        <x:v>0</x:v>
      </x:c>
    </x:row>
    <x:row r="285" ht="21" customHeight="1">
      <x:c r="A285" s="6" t="n">
        <x:f>'Daily inputs'!A285</x:f>
        <x:v>46009</x:v>
      </x:c>
      <x:c r="B285" s="2" t="str">
        <x:f>'Daily inputs'!B285</x:f>
        <x:v>I02</x:v>
      </x:c>
      <x:c r="C285" s="2" t="n">
        <x:f>'Daily inputs'!C285</x:f>
        <x:v>4</x:v>
      </x:c>
      <x:c r="D285" s="2" t="str">
        <x:f>'Daily inputs'!D285</x:f>
        <x:v>December normal</x:v>
      </x:c>
      <x:c r="E285" s="7" t="n">
        <x:f>'Daily inputs'!E285</x:f>
        <x:v>8</x:v>
      </x:c>
      <x:c r="F285" s="2" t="n">
        <x:f>'Daily inputs'!F285</x:f>
        <x:v>57</x:v>
      </x:c>
      <x:c r="G285" s="2" t="n">
        <x:f>'Daily inputs'!G285</x:f>
        <x:v>8</x:v>
      </x:c>
      <x:c r="H285" s="2" t="n">
        <x:f>'Daily inputs'!H285</x:f>
        <x:v>58</x:v>
      </x:c>
      <x:c r="I285" s="2" t="n">
        <x:f>'Daily inputs'!I285</x:f>
        <x:v>0</x:v>
      </x:c>
      <x:c r="J285" s="2" t="n">
        <x:f>'Daily inputs'!J285</x:f>
        <x:v>0</x:v>
      </x:c>
      <x:c r="K285" s="2" t="n">
        <x:f>'Daily inputs'!K285</x:f>
        <x:v>0</x:v>
      </x:c>
      <x:c r="L285" s="2" t="n">
        <x:f>MIN(F285,G285+H285-I285)</x:f>
        <x:v>57</x:v>
      </x:c>
      <x:c r="M285" s="2" t="n">
        <x:f>G285+H285-L285-I285</x:f>
        <x:v>9</x:v>
      </x:c>
      <x:c r="N285" s="2" t="n">
        <x:f>F285-L285</x:f>
        <x:v>0</x:v>
      </x:c>
      <x:c r="O285" s="2" t="n">
        <x:f>N285-J285</x:f>
        <x:v>0</x:v>
      </x:c>
      <x:c r="P285" s="2" t="n">
        <x:f>L285+I285</x:f>
        <x:v>57</x:v>
      </x:c>
      <x:c r="Q285" s="8" t="n">
        <x:f>P285*E285</x:f>
        <x:v>456</x:v>
      </x:c>
      <x:c r="R285" s="8" t="n">
        <x:f>I285*E285</x:f>
        <x:v>0</x:v>
      </x:c>
      <x:c r="S285" s="8" t="n">
        <x:f>O285*E285</x:f>
        <x:v>0</x:v>
      </x:c>
      <x:c r="T285" s="2" t="n">
        <x:f>IF(A285&lt;DATE(2025,12,1),"",IF(D285="Closed",0,ROUND(AVERAGEIFS('Daily inputs'!$F$2:$F$367,'Daily inputs'!$B$2:$B$367,B285,'Daily inputs'!$C$2:$C$367,C285,'Daily inputs'!$D$2:$D$367,"Training"),0)))</x:f>
        <x:v>59</x:v>
      </x:c>
      <x:c r="U285" s="2" t="n">
        <x:f>IF(A285&lt;DATE(2025,12,1),"",ROUND(T285*IF(D285="Christmas",Notes!$B$9,Notes!$B$8),0))</x:f>
        <x:v>61</x:v>
      </x:c>
      <x:c r="V285" s="2" t="n">
        <x:f>IF(A285&lt;DATE(2025,12,1),"",ABS(T285-F285))</x:f>
        <x:v>2</x:v>
      </x:c>
      <x:c r="W285" s="2" t="n">
        <x:f>IF(A285&lt;DATE(2025,12,1),"",ABS(U285-F285))</x:f>
        <x:v>4</x:v>
      </x:c>
      <x:c r="X285" s="2" t="n">
        <x:f>IF(A285&lt;DATE(2025,12,1),"",T285-F285)</x:f>
        <x:v>2</x:v>
      </x:c>
      <x:c r="Y285" s="2" t="n">
        <x:f>IF(A285&lt;DATE(2025,12,1),"",U285-F285)</x:f>
        <x:v>4</x:v>
      </x:c>
      <x:c r="Z285" s="2" t="n">
        <x:f>IF(N285&gt;0,1,0)</x:f>
        <x:v>0</x:v>
      </x:c>
    </x:row>
    <x:row r="286" ht="21" customHeight="1">
      <x:c r="A286" s="6" t="n">
        <x:f>'Daily inputs'!A286</x:f>
        <x:v>46009</x:v>
      </x:c>
      <x:c r="B286" s="2" t="str">
        <x:f>'Daily inputs'!B286</x:f>
        <x:v>I03</x:v>
      </x:c>
      <x:c r="C286" s="2" t="n">
        <x:f>'Daily inputs'!C286</x:f>
        <x:v>4</x:v>
      </x:c>
      <x:c r="D286" s="2" t="str">
        <x:f>'Daily inputs'!D286</x:f>
        <x:v>December normal</x:v>
      </x:c>
      <x:c r="E286" s="7" t="n">
        <x:f>'Daily inputs'!E286</x:f>
        <x:v>7.5</x:v>
      </x:c>
      <x:c r="F286" s="2" t="n">
        <x:f>'Daily inputs'!F286</x:f>
        <x:v>37</x:v>
      </x:c>
      <x:c r="G286" s="2" t="n">
        <x:f>'Daily inputs'!G286</x:f>
        <x:v>5</x:v>
      </x:c>
      <x:c r="H286" s="2" t="n">
        <x:f>'Daily inputs'!H286</x:f>
        <x:v>38</x:v>
      </x:c>
      <x:c r="I286" s="2" t="n">
        <x:f>'Daily inputs'!I286</x:f>
        <x:v>0</x:v>
      </x:c>
      <x:c r="J286" s="2" t="n">
        <x:f>'Daily inputs'!J286</x:f>
        <x:v>0</x:v>
      </x:c>
      <x:c r="K286" s="2" t="n">
        <x:f>'Daily inputs'!K286</x:f>
        <x:v>0</x:v>
      </x:c>
      <x:c r="L286" s="2" t="n">
        <x:f>MIN(F286,G286+H286-I286)</x:f>
        <x:v>37</x:v>
      </x:c>
      <x:c r="M286" s="2" t="n">
        <x:f>G286+H286-L286-I286</x:f>
        <x:v>6</x:v>
      </x:c>
      <x:c r="N286" s="2" t="n">
        <x:f>F286-L286</x:f>
        <x:v>0</x:v>
      </x:c>
      <x:c r="O286" s="2" t="n">
        <x:f>N286-J286</x:f>
        <x:v>0</x:v>
      </x:c>
      <x:c r="P286" s="2" t="n">
        <x:f>L286+I286</x:f>
        <x:v>37</x:v>
      </x:c>
      <x:c r="Q286" s="8" t="n">
        <x:f>P286*E286</x:f>
        <x:v>277.5</x:v>
      </x:c>
      <x:c r="R286" s="8" t="n">
        <x:f>I286*E286</x:f>
        <x:v>0</x:v>
      </x:c>
      <x:c r="S286" s="8" t="n">
        <x:f>O286*E286</x:f>
        <x:v>0</x:v>
      </x:c>
      <x:c r="T286" s="2" t="n">
        <x:f>IF(A286&lt;DATE(2025,12,1),"",IF(D286="Closed",0,ROUND(AVERAGEIFS('Daily inputs'!$F$2:$F$367,'Daily inputs'!$B$2:$B$367,B286,'Daily inputs'!$C$2:$C$367,C286,'Daily inputs'!$D$2:$D$367,"Training"),0)))</x:f>
        <x:v>34</x:v>
      </x:c>
      <x:c r="U286" s="2" t="n">
        <x:f>IF(A286&lt;DATE(2025,12,1),"",ROUND(T286*IF(D286="Christmas",Notes!$B$9,Notes!$B$8),0))</x:f>
        <x:v>35</x:v>
      </x:c>
      <x:c r="V286" s="2" t="n">
        <x:f>IF(A286&lt;DATE(2025,12,1),"",ABS(T286-F286))</x:f>
        <x:v>3</x:v>
      </x:c>
      <x:c r="W286" s="2" t="n">
        <x:f>IF(A286&lt;DATE(2025,12,1),"",ABS(U286-F286))</x:f>
        <x:v>2</x:v>
      </x:c>
      <x:c r="X286" s="2" t="n">
        <x:f>IF(A286&lt;DATE(2025,12,1),"",T286-F286)</x:f>
        <x:v>-3</x:v>
      </x:c>
      <x:c r="Y286" s="2" t="n">
        <x:f>IF(A286&lt;DATE(2025,12,1),"",U286-F286)</x:f>
        <x:v>-2</x:v>
      </x:c>
      <x:c r="Z286" s="2" t="n">
        <x:f>IF(N286&gt;0,1,0)</x:f>
        <x:v>0</x:v>
      </x:c>
    </x:row>
    <x:row r="287" ht="21" customHeight="1">
      <x:c r="A287" s="6" t="n">
        <x:f>'Daily inputs'!A287</x:f>
        <x:v>46009</x:v>
      </x:c>
      <x:c r="B287" s="2" t="str">
        <x:f>'Daily inputs'!B287</x:f>
        <x:v>I04</x:v>
      </x:c>
      <x:c r="C287" s="2" t="n">
        <x:f>'Daily inputs'!C287</x:f>
        <x:v>4</x:v>
      </x:c>
      <x:c r="D287" s="2" t="str">
        <x:f>'Daily inputs'!D287</x:f>
        <x:v>December normal</x:v>
      </x:c>
      <x:c r="E287" s="7" t="n">
        <x:f>'Daily inputs'!E287</x:f>
        <x:v>9</x:v>
      </x:c>
      <x:c r="F287" s="2" t="n">
        <x:f>'Daily inputs'!F287</x:f>
        <x:v>40</x:v>
      </x:c>
      <x:c r="G287" s="2" t="n">
        <x:f>'Daily inputs'!G287</x:f>
        <x:v>6</x:v>
      </x:c>
      <x:c r="H287" s="2" t="n">
        <x:f>'Daily inputs'!H287</x:f>
        <x:v>40</x:v>
      </x:c>
      <x:c r="I287" s="2" t="n">
        <x:f>'Daily inputs'!I287</x:f>
        <x:v>0</x:v>
      </x:c>
      <x:c r="J287" s="2" t="n">
        <x:f>'Daily inputs'!J287</x:f>
        <x:v>0</x:v>
      </x:c>
      <x:c r="K287" s="2" t="n">
        <x:f>'Daily inputs'!K287</x:f>
        <x:v>0</x:v>
      </x:c>
      <x:c r="L287" s="2" t="n">
        <x:f>MIN(F287,G287+H287-I287)</x:f>
        <x:v>40</x:v>
      </x:c>
      <x:c r="M287" s="2" t="n">
        <x:f>G287+H287-L287-I287</x:f>
        <x:v>6</x:v>
      </x:c>
      <x:c r="N287" s="2" t="n">
        <x:f>F287-L287</x:f>
        <x:v>0</x:v>
      </x:c>
      <x:c r="O287" s="2" t="n">
        <x:f>N287-J287</x:f>
        <x:v>0</x:v>
      </x:c>
      <x:c r="P287" s="2" t="n">
        <x:f>L287+I287</x:f>
        <x:v>40</x:v>
      </x:c>
      <x:c r="Q287" s="8" t="n">
        <x:f>P287*E287</x:f>
        <x:v>360</x:v>
      </x:c>
      <x:c r="R287" s="8" t="n">
        <x:f>I287*E287</x:f>
        <x:v>0</x:v>
      </x:c>
      <x:c r="S287" s="8" t="n">
        <x:f>O287*E287</x:f>
        <x:v>0</x:v>
      </x:c>
      <x:c r="T287" s="2" t="n">
        <x:f>IF(A287&lt;DATE(2025,12,1),"",IF(D287="Closed",0,ROUND(AVERAGEIFS('Daily inputs'!$F$2:$F$367,'Daily inputs'!$B$2:$B$367,B287,'Daily inputs'!$C$2:$C$367,C287,'Daily inputs'!$D$2:$D$367,"Training"),0)))</x:f>
        <x:v>40</x:v>
      </x:c>
      <x:c r="U287" s="2" t="n">
        <x:f>IF(A287&lt;DATE(2025,12,1),"",ROUND(T287*IF(D287="Christmas",Notes!$B$9,Notes!$B$8),0))</x:f>
        <x:v>42</x:v>
      </x:c>
      <x:c r="V287" s="2" t="n">
        <x:f>IF(A287&lt;DATE(2025,12,1),"",ABS(T287-F287))</x:f>
        <x:v>0</x:v>
      </x:c>
      <x:c r="W287" s="2" t="n">
        <x:f>IF(A287&lt;DATE(2025,12,1),"",ABS(U287-F287))</x:f>
        <x:v>2</x:v>
      </x:c>
      <x:c r="X287" s="2" t="n">
        <x:f>IF(A287&lt;DATE(2025,12,1),"",T287-F287)</x:f>
        <x:v>0</x:v>
      </x:c>
      <x:c r="Y287" s="2" t="n">
        <x:f>IF(A287&lt;DATE(2025,12,1),"",U287-F287)</x:f>
        <x:v>2</x:v>
      </x:c>
      <x:c r="Z287" s="2" t="n">
        <x:f>IF(N287&gt;0,1,0)</x:f>
        <x:v>0</x:v>
      </x:c>
    </x:row>
    <x:row r="288" ht="21" customHeight="1">
      <x:c r="A288" s="6" t="n">
        <x:f>'Daily inputs'!A288</x:f>
        <x:v>46009</x:v>
      </x:c>
      <x:c r="B288" s="2" t="str">
        <x:f>'Daily inputs'!B288</x:f>
        <x:v>I05</x:v>
      </x:c>
      <x:c r="C288" s="2" t="n">
        <x:f>'Daily inputs'!C288</x:f>
        <x:v>4</x:v>
      </x:c>
      <x:c r="D288" s="2" t="str">
        <x:f>'Daily inputs'!D288</x:f>
        <x:v>December normal</x:v>
      </x:c>
      <x:c r="E288" s="7" t="n">
        <x:f>'Daily inputs'!E288</x:f>
        <x:v>3.5</x:v>
      </x:c>
      <x:c r="F288" s="2" t="n">
        <x:f>'Daily inputs'!F288</x:f>
        <x:v>84</x:v>
      </x:c>
      <x:c r="G288" s="2" t="n">
        <x:f>'Daily inputs'!G288</x:f>
        <x:v>12</x:v>
      </x:c>
      <x:c r="H288" s="2" t="n">
        <x:f>'Daily inputs'!H288</x:f>
        <x:v>85</x:v>
      </x:c>
      <x:c r="I288" s="2" t="n">
        <x:f>'Daily inputs'!I288</x:f>
        <x:v>0</x:v>
      </x:c>
      <x:c r="J288" s="2" t="n">
        <x:f>'Daily inputs'!J288</x:f>
        <x:v>0</x:v>
      </x:c>
      <x:c r="K288" s="2" t="n">
        <x:f>'Daily inputs'!K288</x:f>
        <x:v>0</x:v>
      </x:c>
      <x:c r="L288" s="2" t="n">
        <x:f>MIN(F288,G288+H288-I288)</x:f>
        <x:v>84</x:v>
      </x:c>
      <x:c r="M288" s="2" t="n">
        <x:f>G288+H288-L288-I288</x:f>
        <x:v>13</x:v>
      </x:c>
      <x:c r="N288" s="2" t="n">
        <x:f>F288-L288</x:f>
        <x:v>0</x:v>
      </x:c>
      <x:c r="O288" s="2" t="n">
        <x:f>N288-J288</x:f>
        <x:v>0</x:v>
      </x:c>
      <x:c r="P288" s="2" t="n">
        <x:f>L288+I288</x:f>
        <x:v>84</x:v>
      </x:c>
      <x:c r="Q288" s="8" t="n">
        <x:f>P288*E288</x:f>
        <x:v>294</x:v>
      </x:c>
      <x:c r="R288" s="8" t="n">
        <x:f>I288*E288</x:f>
        <x:v>0</x:v>
      </x:c>
      <x:c r="S288" s="8" t="n">
        <x:f>O288*E288</x:f>
        <x:v>0</x:v>
      </x:c>
      <x:c r="T288" s="2" t="n">
        <x:f>IF(A288&lt;DATE(2025,12,1),"",IF(D288="Closed",0,ROUND(AVERAGEIFS('Daily inputs'!$F$2:$F$367,'Daily inputs'!$B$2:$B$367,B288,'Daily inputs'!$C$2:$C$367,C288,'Daily inputs'!$D$2:$D$367,"Training"),0)))</x:f>
        <x:v>84</x:v>
      </x:c>
      <x:c r="U288" s="2" t="n">
        <x:f>IF(A288&lt;DATE(2025,12,1),"",ROUND(T288*IF(D288="Christmas",Notes!$B$9,Notes!$B$8),0))</x:f>
        <x:v>87</x:v>
      </x:c>
      <x:c r="V288" s="2" t="n">
        <x:f>IF(A288&lt;DATE(2025,12,1),"",ABS(T288-F288))</x:f>
        <x:v>0</x:v>
      </x:c>
      <x:c r="W288" s="2" t="n">
        <x:f>IF(A288&lt;DATE(2025,12,1),"",ABS(U288-F288))</x:f>
        <x:v>3</x:v>
      </x:c>
      <x:c r="X288" s="2" t="n">
        <x:f>IF(A288&lt;DATE(2025,12,1),"",T288-F288)</x:f>
        <x:v>0</x:v>
      </x:c>
      <x:c r="Y288" s="2" t="n">
        <x:f>IF(A288&lt;DATE(2025,12,1),"",U288-F288)</x:f>
        <x:v>3</x:v>
      </x:c>
      <x:c r="Z288" s="2" t="n">
        <x:f>IF(N288&gt;0,1,0)</x:f>
        <x:v>0</x:v>
      </x:c>
    </x:row>
    <x:row r="289" ht="21" customHeight="1">
      <x:c r="A289" s="6" t="n">
        <x:f>'Daily inputs'!A289</x:f>
        <x:v>46009</x:v>
      </x:c>
      <x:c r="B289" s="2" t="str">
        <x:f>'Daily inputs'!B289</x:f>
        <x:v>I06</x:v>
      </x:c>
      <x:c r="C289" s="2" t="n">
        <x:f>'Daily inputs'!C289</x:f>
        <x:v>4</x:v>
      </x:c>
      <x:c r="D289" s="2" t="str">
        <x:f>'Daily inputs'!D289</x:f>
        <x:v>December normal</x:v>
      </x:c>
      <x:c r="E289" s="7" t="n">
        <x:f>'Daily inputs'!E289</x:f>
        <x:v>3</x:v>
      </x:c>
      <x:c r="F289" s="2" t="n">
        <x:f>'Daily inputs'!F289</x:f>
        <x:v>32</x:v>
      </x:c>
      <x:c r="G289" s="2" t="n">
        <x:f>'Daily inputs'!G289</x:f>
        <x:v>4</x:v>
      </x:c>
      <x:c r="H289" s="2" t="n">
        <x:f>'Daily inputs'!H289</x:f>
        <x:v>33</x:v>
      </x:c>
      <x:c r="I289" s="2" t="n">
        <x:f>'Daily inputs'!I289</x:f>
        <x:v>0</x:v>
      </x:c>
      <x:c r="J289" s="2" t="n">
        <x:f>'Daily inputs'!J289</x:f>
        <x:v>0</x:v>
      </x:c>
      <x:c r="K289" s="2" t="n">
        <x:f>'Daily inputs'!K289</x:f>
        <x:v>0</x:v>
      </x:c>
      <x:c r="L289" s="2" t="n">
        <x:f>MIN(F289,G289+H289-I289)</x:f>
        <x:v>32</x:v>
      </x:c>
      <x:c r="M289" s="2" t="n">
        <x:f>G289+H289-L289-I289</x:f>
        <x:v>5</x:v>
      </x:c>
      <x:c r="N289" s="2" t="n">
        <x:f>F289-L289</x:f>
        <x:v>0</x:v>
      </x:c>
      <x:c r="O289" s="2" t="n">
        <x:f>N289-J289</x:f>
        <x:v>0</x:v>
      </x:c>
      <x:c r="P289" s="2" t="n">
        <x:f>L289+I289</x:f>
        <x:v>32</x:v>
      </x:c>
      <x:c r="Q289" s="8" t="n">
        <x:f>P289*E289</x:f>
        <x:v>96</x:v>
      </x:c>
      <x:c r="R289" s="8" t="n">
        <x:f>I289*E289</x:f>
        <x:v>0</x:v>
      </x:c>
      <x:c r="S289" s="8" t="n">
        <x:f>O289*E289</x:f>
        <x:v>0</x:v>
      </x:c>
      <x:c r="T289" s="2" t="n">
        <x:f>IF(A289&lt;DATE(2025,12,1),"",IF(D289="Closed",0,ROUND(AVERAGEIFS('Daily inputs'!$F$2:$F$367,'Daily inputs'!$B$2:$B$367,B289,'Daily inputs'!$C$2:$C$367,C289,'Daily inputs'!$D$2:$D$367,"Training"),0)))</x:f>
        <x:v>31</x:v>
      </x:c>
      <x:c r="U289" s="2" t="n">
        <x:f>IF(A289&lt;DATE(2025,12,1),"",ROUND(T289*IF(D289="Christmas",Notes!$B$9,Notes!$B$8),0))</x:f>
        <x:v>32</x:v>
      </x:c>
      <x:c r="V289" s="2" t="n">
        <x:f>IF(A289&lt;DATE(2025,12,1),"",ABS(T289-F289))</x:f>
        <x:v>1</x:v>
      </x:c>
      <x:c r="W289" s="2" t="n">
        <x:f>IF(A289&lt;DATE(2025,12,1),"",ABS(U289-F289))</x:f>
        <x:v>0</x:v>
      </x:c>
      <x:c r="X289" s="2" t="n">
        <x:f>IF(A289&lt;DATE(2025,12,1),"",T289-F289)</x:f>
        <x:v>-1</x:v>
      </x:c>
      <x:c r="Y289" s="2" t="n">
        <x:f>IF(A289&lt;DATE(2025,12,1),"",U289-F289)</x:f>
        <x:v>0</x:v>
      </x:c>
      <x:c r="Z289" s="2" t="n">
        <x:f>IF(N289&gt;0,1,0)</x:f>
        <x:v>0</x:v>
      </x:c>
    </x:row>
    <x:row r="290" ht="21" customHeight="1">
      <x:c r="A290" s="6" t="n">
        <x:f>'Daily inputs'!A290</x:f>
        <x:v>46010</x:v>
      </x:c>
      <x:c r="B290" s="2" t="str">
        <x:f>'Daily inputs'!B290</x:f>
        <x:v>I01</x:v>
      </x:c>
      <x:c r="C290" s="2" t="n">
        <x:f>'Daily inputs'!C290</x:f>
        <x:v>5</x:v>
      </x:c>
      <x:c r="D290" s="2" t="str">
        <x:f>'Daily inputs'!D290</x:f>
        <x:v>December normal</x:v>
      </x:c>
      <x:c r="E290" s="7" t="n">
        <x:f>'Daily inputs'!E290</x:f>
        <x:v>8.5</x:v>
      </x:c>
      <x:c r="F290" s="2" t="n">
        <x:f>'Daily inputs'!F290</x:f>
        <x:v>90</x:v>
      </x:c>
      <x:c r="G290" s="2" t="n">
        <x:f>'Daily inputs'!G290</x:f>
        <x:v>11</x:v>
      </x:c>
      <x:c r="H290" s="2" t="n">
        <x:f>'Daily inputs'!H290</x:f>
        <x:v>92</x:v>
      </x:c>
      <x:c r="I290" s="2" t="n">
        <x:f>'Daily inputs'!I290</x:f>
        <x:v>0</x:v>
      </x:c>
      <x:c r="J290" s="2" t="n">
        <x:f>'Daily inputs'!J290</x:f>
        <x:v>0</x:v>
      </x:c>
      <x:c r="K290" s="2" t="n">
        <x:f>'Daily inputs'!K290</x:f>
        <x:v>0</x:v>
      </x:c>
      <x:c r="L290" s="2" t="n">
        <x:f>MIN(F290,G290+H290-I290)</x:f>
        <x:v>90</x:v>
      </x:c>
      <x:c r="M290" s="2" t="n">
        <x:f>G290+H290-L290-I290</x:f>
        <x:v>13</x:v>
      </x:c>
      <x:c r="N290" s="2" t="n">
        <x:f>F290-L290</x:f>
        <x:v>0</x:v>
      </x:c>
      <x:c r="O290" s="2" t="n">
        <x:f>N290-J290</x:f>
        <x:v>0</x:v>
      </x:c>
      <x:c r="P290" s="2" t="n">
        <x:f>L290+I290</x:f>
        <x:v>90</x:v>
      </x:c>
      <x:c r="Q290" s="8" t="n">
        <x:f>P290*E290</x:f>
        <x:v>765</x:v>
      </x:c>
      <x:c r="R290" s="8" t="n">
        <x:f>I290*E290</x:f>
        <x:v>0</x:v>
      </x:c>
      <x:c r="S290" s="8" t="n">
        <x:f>O290*E290</x:f>
        <x:v>0</x:v>
      </x:c>
      <x:c r="T290" s="2" t="n">
        <x:f>IF(A290&lt;DATE(2025,12,1),"",IF(D290="Closed",0,ROUND(AVERAGEIFS('Daily inputs'!$F$2:$F$367,'Daily inputs'!$B$2:$B$367,B290,'Daily inputs'!$C$2:$C$367,C290,'Daily inputs'!$D$2:$D$367,"Training"),0)))</x:f>
        <x:v>84</x:v>
      </x:c>
      <x:c r="U290" s="2" t="n">
        <x:f>IF(A290&lt;DATE(2025,12,1),"",ROUND(T290*IF(D290="Christmas",Notes!$B$9,Notes!$B$8),0))</x:f>
        <x:v>87</x:v>
      </x:c>
      <x:c r="V290" s="2" t="n">
        <x:f>IF(A290&lt;DATE(2025,12,1),"",ABS(T290-F290))</x:f>
        <x:v>6</x:v>
      </x:c>
      <x:c r="W290" s="2" t="n">
        <x:f>IF(A290&lt;DATE(2025,12,1),"",ABS(U290-F290))</x:f>
        <x:v>3</x:v>
      </x:c>
      <x:c r="X290" s="2" t="n">
        <x:f>IF(A290&lt;DATE(2025,12,1),"",T290-F290)</x:f>
        <x:v>-6</x:v>
      </x:c>
      <x:c r="Y290" s="2" t="n">
        <x:f>IF(A290&lt;DATE(2025,12,1),"",U290-F290)</x:f>
        <x:v>-3</x:v>
      </x:c>
      <x:c r="Z290" s="2" t="n">
        <x:f>IF(N290&gt;0,1,0)</x:f>
        <x:v>0</x:v>
      </x:c>
    </x:row>
    <x:row r="291" ht="21" customHeight="1">
      <x:c r="A291" s="6" t="n">
        <x:f>'Daily inputs'!A291</x:f>
        <x:v>46010</x:v>
      </x:c>
      <x:c r="B291" s="2" t="str">
        <x:f>'Daily inputs'!B291</x:f>
        <x:v>I02</x:v>
      </x:c>
      <x:c r="C291" s="2" t="n">
        <x:f>'Daily inputs'!C291</x:f>
        <x:v>5</x:v>
      </x:c>
      <x:c r="D291" s="2" t="str">
        <x:f>'Daily inputs'!D291</x:f>
        <x:v>December normal</x:v>
      </x:c>
      <x:c r="E291" s="7" t="n">
        <x:f>'Daily inputs'!E291</x:f>
        <x:v>8</x:v>
      </x:c>
      <x:c r="F291" s="2" t="n">
        <x:f>'Daily inputs'!F291</x:f>
        <x:v>75</x:v>
      </x:c>
      <x:c r="G291" s="2" t="n">
        <x:f>'Daily inputs'!G291</x:f>
        <x:v>9</x:v>
      </x:c>
      <x:c r="H291" s="2" t="n">
        <x:f>'Daily inputs'!H291</x:f>
        <x:v>77</x:v>
      </x:c>
      <x:c r="I291" s="2" t="n">
        <x:f>'Daily inputs'!I291</x:f>
        <x:v>0</x:v>
      </x:c>
      <x:c r="J291" s="2" t="n">
        <x:f>'Daily inputs'!J291</x:f>
        <x:v>0</x:v>
      </x:c>
      <x:c r="K291" s="2" t="n">
        <x:f>'Daily inputs'!K291</x:f>
        <x:v>0</x:v>
      </x:c>
      <x:c r="L291" s="2" t="n">
        <x:f>MIN(F291,G291+H291-I291)</x:f>
        <x:v>75</x:v>
      </x:c>
      <x:c r="M291" s="2" t="n">
        <x:f>G291+H291-L291-I291</x:f>
        <x:v>11</x:v>
      </x:c>
      <x:c r="N291" s="2" t="n">
        <x:f>F291-L291</x:f>
        <x:v>0</x:v>
      </x:c>
      <x:c r="O291" s="2" t="n">
        <x:f>N291-J291</x:f>
        <x:v>0</x:v>
      </x:c>
      <x:c r="P291" s="2" t="n">
        <x:f>L291+I291</x:f>
        <x:v>75</x:v>
      </x:c>
      <x:c r="Q291" s="8" t="n">
        <x:f>P291*E291</x:f>
        <x:v>600</x:v>
      </x:c>
      <x:c r="R291" s="8" t="n">
        <x:f>I291*E291</x:f>
        <x:v>0</x:v>
      </x:c>
      <x:c r="S291" s="8" t="n">
        <x:f>O291*E291</x:f>
        <x:v>0</x:v>
      </x:c>
      <x:c r="T291" s="2" t="n">
        <x:f>IF(A291&lt;DATE(2025,12,1),"",IF(D291="Closed",0,ROUND(AVERAGEIFS('Daily inputs'!$F$2:$F$367,'Daily inputs'!$B$2:$B$367,B291,'Daily inputs'!$C$2:$C$367,C291,'Daily inputs'!$D$2:$D$367,"Training"),0)))</x:f>
        <x:v>68</x:v>
      </x:c>
      <x:c r="U291" s="2" t="n">
        <x:f>IF(A291&lt;DATE(2025,12,1),"",ROUND(T291*IF(D291="Christmas",Notes!$B$9,Notes!$B$8),0))</x:f>
        <x:v>71</x:v>
      </x:c>
      <x:c r="V291" s="2" t="n">
        <x:f>IF(A291&lt;DATE(2025,12,1),"",ABS(T291-F291))</x:f>
        <x:v>7</x:v>
      </x:c>
      <x:c r="W291" s="2" t="n">
        <x:f>IF(A291&lt;DATE(2025,12,1),"",ABS(U291-F291))</x:f>
        <x:v>4</x:v>
      </x:c>
      <x:c r="X291" s="2" t="n">
        <x:f>IF(A291&lt;DATE(2025,12,1),"",T291-F291)</x:f>
        <x:v>-7</x:v>
      </x:c>
      <x:c r="Y291" s="2" t="n">
        <x:f>IF(A291&lt;DATE(2025,12,1),"",U291-F291)</x:f>
        <x:v>-4</x:v>
      </x:c>
      <x:c r="Z291" s="2" t="n">
        <x:f>IF(N291&gt;0,1,0)</x:f>
        <x:v>0</x:v>
      </x:c>
    </x:row>
    <x:row r="292" ht="21" customHeight="1">
      <x:c r="A292" s="6" t="n">
        <x:f>'Daily inputs'!A292</x:f>
        <x:v>46010</x:v>
      </x:c>
      <x:c r="B292" s="2" t="str">
        <x:f>'Daily inputs'!B292</x:f>
        <x:v>I03</x:v>
      </x:c>
      <x:c r="C292" s="2" t="n">
        <x:f>'Daily inputs'!C292</x:f>
        <x:v>5</x:v>
      </x:c>
      <x:c r="D292" s="2" t="str">
        <x:f>'Daily inputs'!D292</x:f>
        <x:v>December normal</x:v>
      </x:c>
      <x:c r="E292" s="7" t="n">
        <x:f>'Daily inputs'!E292</x:f>
        <x:v>7.5</x:v>
      </x:c>
      <x:c r="F292" s="2" t="n">
        <x:f>'Daily inputs'!F292</x:f>
        <x:v>42</x:v>
      </x:c>
      <x:c r="G292" s="2" t="n">
        <x:f>'Daily inputs'!G292</x:f>
        <x:v>6</x:v>
      </x:c>
      <x:c r="H292" s="2" t="n">
        <x:f>'Daily inputs'!H292</x:f>
        <x:v>42</x:v>
      </x:c>
      <x:c r="I292" s="2" t="n">
        <x:f>'Daily inputs'!I292</x:f>
        <x:v>0</x:v>
      </x:c>
      <x:c r="J292" s="2" t="n">
        <x:f>'Daily inputs'!J292</x:f>
        <x:v>0</x:v>
      </x:c>
      <x:c r="K292" s="2" t="n">
        <x:f>'Daily inputs'!K292</x:f>
        <x:v>0</x:v>
      </x:c>
      <x:c r="L292" s="2" t="n">
        <x:f>MIN(F292,G292+H292-I292)</x:f>
        <x:v>42</x:v>
      </x:c>
      <x:c r="M292" s="2" t="n">
        <x:f>G292+H292-L292-I292</x:f>
        <x:v>6</x:v>
      </x:c>
      <x:c r="N292" s="2" t="n">
        <x:f>F292-L292</x:f>
        <x:v>0</x:v>
      </x:c>
      <x:c r="O292" s="2" t="n">
        <x:f>N292-J292</x:f>
        <x:v>0</x:v>
      </x:c>
      <x:c r="P292" s="2" t="n">
        <x:f>L292+I292</x:f>
        <x:v>42</x:v>
      </x:c>
      <x:c r="Q292" s="8" t="n">
        <x:f>P292*E292</x:f>
        <x:v>315</x:v>
      </x:c>
      <x:c r="R292" s="8" t="n">
        <x:f>I292*E292</x:f>
        <x:v>0</x:v>
      </x:c>
      <x:c r="S292" s="8" t="n">
        <x:f>O292*E292</x:f>
        <x:v>0</x:v>
      </x:c>
      <x:c r="T292" s="2" t="n">
        <x:f>IF(A292&lt;DATE(2025,12,1),"",IF(D292="Closed",0,ROUND(AVERAGEIFS('Daily inputs'!$F$2:$F$367,'Daily inputs'!$B$2:$B$367,B292,'Daily inputs'!$C$2:$C$367,C292,'Daily inputs'!$D$2:$D$367,"Training"),0)))</x:f>
        <x:v>41</x:v>
      </x:c>
      <x:c r="U292" s="2" t="n">
        <x:f>IF(A292&lt;DATE(2025,12,1),"",ROUND(T292*IF(D292="Christmas",Notes!$B$9,Notes!$B$8),0))</x:f>
        <x:v>43</x:v>
      </x:c>
      <x:c r="V292" s="2" t="n">
        <x:f>IF(A292&lt;DATE(2025,12,1),"",ABS(T292-F292))</x:f>
        <x:v>1</x:v>
      </x:c>
      <x:c r="W292" s="2" t="n">
        <x:f>IF(A292&lt;DATE(2025,12,1),"",ABS(U292-F292))</x:f>
        <x:v>1</x:v>
      </x:c>
      <x:c r="X292" s="2" t="n">
        <x:f>IF(A292&lt;DATE(2025,12,1),"",T292-F292)</x:f>
        <x:v>-1</x:v>
      </x:c>
      <x:c r="Y292" s="2" t="n">
        <x:f>IF(A292&lt;DATE(2025,12,1),"",U292-F292)</x:f>
        <x:v>1</x:v>
      </x:c>
      <x:c r="Z292" s="2" t="n">
        <x:f>IF(N292&gt;0,1,0)</x:f>
        <x:v>0</x:v>
      </x:c>
    </x:row>
    <x:row r="293" ht="21" customHeight="1">
      <x:c r="A293" s="6" t="n">
        <x:f>'Daily inputs'!A293</x:f>
        <x:v>46010</x:v>
      </x:c>
      <x:c r="B293" s="2" t="str">
        <x:f>'Daily inputs'!B293</x:f>
        <x:v>I04</x:v>
      </x:c>
      <x:c r="C293" s="2" t="n">
        <x:f>'Daily inputs'!C293</x:f>
        <x:v>5</x:v>
      </x:c>
      <x:c r="D293" s="2" t="str">
        <x:f>'Daily inputs'!D293</x:f>
        <x:v>December normal</x:v>
      </x:c>
      <x:c r="E293" s="7" t="n">
        <x:f>'Daily inputs'!E293</x:f>
        <x:v>9</x:v>
      </x:c>
      <x:c r="F293" s="2" t="n">
        <x:f>'Daily inputs'!F293</x:f>
        <x:v>49</x:v>
      </x:c>
      <x:c r="G293" s="2" t="n">
        <x:f>'Daily inputs'!G293</x:f>
        <x:v>6</x:v>
      </x:c>
      <x:c r="H293" s="2" t="n">
        <x:f>'Daily inputs'!H293</x:f>
        <x:v>50</x:v>
      </x:c>
      <x:c r="I293" s="2" t="n">
        <x:f>'Daily inputs'!I293</x:f>
        <x:v>0</x:v>
      </x:c>
      <x:c r="J293" s="2" t="n">
        <x:f>'Daily inputs'!J293</x:f>
        <x:v>0</x:v>
      </x:c>
      <x:c r="K293" s="2" t="n">
        <x:f>'Daily inputs'!K293</x:f>
        <x:v>0</x:v>
      </x:c>
      <x:c r="L293" s="2" t="n">
        <x:f>MIN(F293,G293+H293-I293)</x:f>
        <x:v>49</x:v>
      </x:c>
      <x:c r="M293" s="2" t="n">
        <x:f>G293+H293-L293-I293</x:f>
        <x:v>7</x:v>
      </x:c>
      <x:c r="N293" s="2" t="n">
        <x:f>F293-L293</x:f>
        <x:v>0</x:v>
      </x:c>
      <x:c r="O293" s="2" t="n">
        <x:f>N293-J293</x:f>
        <x:v>0</x:v>
      </x:c>
      <x:c r="P293" s="2" t="n">
        <x:f>L293+I293</x:f>
        <x:v>49</x:v>
      </x:c>
      <x:c r="Q293" s="8" t="n">
        <x:f>P293*E293</x:f>
        <x:v>441</x:v>
      </x:c>
      <x:c r="R293" s="8" t="n">
        <x:f>I293*E293</x:f>
        <x:v>0</x:v>
      </x:c>
      <x:c r="S293" s="8" t="n">
        <x:f>O293*E293</x:f>
        <x:v>0</x:v>
      </x:c>
      <x:c r="T293" s="2" t="n">
        <x:f>IF(A293&lt;DATE(2025,12,1),"",IF(D293="Closed",0,ROUND(AVERAGEIFS('Daily inputs'!$F$2:$F$367,'Daily inputs'!$B$2:$B$367,B293,'Daily inputs'!$C$2:$C$367,C293,'Daily inputs'!$D$2:$D$367,"Training"),0)))</x:f>
        <x:v>48</x:v>
      </x:c>
      <x:c r="U293" s="2" t="n">
        <x:f>IF(A293&lt;DATE(2025,12,1),"",ROUND(T293*IF(D293="Christmas",Notes!$B$9,Notes!$B$8),0))</x:f>
        <x:v>50</x:v>
      </x:c>
      <x:c r="V293" s="2" t="n">
        <x:f>IF(A293&lt;DATE(2025,12,1),"",ABS(T293-F293))</x:f>
        <x:v>1</x:v>
      </x:c>
      <x:c r="W293" s="2" t="n">
        <x:f>IF(A293&lt;DATE(2025,12,1),"",ABS(U293-F293))</x:f>
        <x:v>1</x:v>
      </x:c>
      <x:c r="X293" s="2" t="n">
        <x:f>IF(A293&lt;DATE(2025,12,1),"",T293-F293)</x:f>
        <x:v>-1</x:v>
      </x:c>
      <x:c r="Y293" s="2" t="n">
        <x:f>IF(A293&lt;DATE(2025,12,1),"",U293-F293)</x:f>
        <x:v>1</x:v>
      </x:c>
      <x:c r="Z293" s="2" t="n">
        <x:f>IF(N293&gt;0,1,0)</x:f>
        <x:v>0</x:v>
      </x:c>
    </x:row>
    <x:row r="294" ht="21" customHeight="1">
      <x:c r="A294" s="6" t="n">
        <x:f>'Daily inputs'!A294</x:f>
        <x:v>46010</x:v>
      </x:c>
      <x:c r="B294" s="2" t="str">
        <x:f>'Daily inputs'!B294</x:f>
        <x:v>I05</x:v>
      </x:c>
      <x:c r="C294" s="2" t="n">
        <x:f>'Daily inputs'!C294</x:f>
        <x:v>5</x:v>
      </x:c>
      <x:c r="D294" s="2" t="str">
        <x:f>'Daily inputs'!D294</x:f>
        <x:v>December normal</x:v>
      </x:c>
      <x:c r="E294" s="7" t="n">
        <x:f>'Daily inputs'!E294</x:f>
        <x:v>3.5</x:v>
      </x:c>
      <x:c r="F294" s="2" t="n">
        <x:f>'Daily inputs'!F294</x:f>
        <x:v>102</x:v>
      </x:c>
      <x:c r="G294" s="2" t="n">
        <x:f>'Daily inputs'!G294</x:f>
        <x:v>13</x:v>
      </x:c>
      <x:c r="H294" s="2" t="n">
        <x:f>'Daily inputs'!H294</x:f>
        <x:v>104</x:v>
      </x:c>
      <x:c r="I294" s="2" t="n">
        <x:f>'Daily inputs'!I294</x:f>
        <x:v>0</x:v>
      </x:c>
      <x:c r="J294" s="2" t="n">
        <x:f>'Daily inputs'!J294</x:f>
        <x:v>0</x:v>
      </x:c>
      <x:c r="K294" s="2" t="n">
        <x:f>'Daily inputs'!K294</x:f>
        <x:v>0</x:v>
      </x:c>
      <x:c r="L294" s="2" t="n">
        <x:f>MIN(F294,G294+H294-I294)</x:f>
        <x:v>102</x:v>
      </x:c>
      <x:c r="M294" s="2" t="n">
        <x:f>G294+H294-L294-I294</x:f>
        <x:v>15</x:v>
      </x:c>
      <x:c r="N294" s="2" t="n">
        <x:f>F294-L294</x:f>
        <x:v>0</x:v>
      </x:c>
      <x:c r="O294" s="2" t="n">
        <x:f>N294-J294</x:f>
        <x:v>0</x:v>
      </x:c>
      <x:c r="P294" s="2" t="n">
        <x:f>L294+I294</x:f>
        <x:v>102</x:v>
      </x:c>
      <x:c r="Q294" s="8" t="n">
        <x:f>P294*E294</x:f>
        <x:v>357</x:v>
      </x:c>
      <x:c r="R294" s="8" t="n">
        <x:f>I294*E294</x:f>
        <x:v>0</x:v>
      </x:c>
      <x:c r="S294" s="8" t="n">
        <x:f>O294*E294</x:f>
        <x:v>0</x:v>
      </x:c>
      <x:c r="T294" s="2" t="n">
        <x:f>IF(A294&lt;DATE(2025,12,1),"",IF(D294="Closed",0,ROUND(AVERAGEIFS('Daily inputs'!$F$2:$F$367,'Daily inputs'!$B$2:$B$367,B294,'Daily inputs'!$C$2:$C$367,C294,'Daily inputs'!$D$2:$D$367,"Training"),0)))</x:f>
        <x:v>98</x:v>
      </x:c>
      <x:c r="U294" s="2" t="n">
        <x:f>IF(A294&lt;DATE(2025,12,1),"",ROUND(T294*IF(D294="Christmas",Notes!$B$9,Notes!$B$8),0))</x:f>
        <x:v>102</x:v>
      </x:c>
      <x:c r="V294" s="2" t="n">
        <x:f>IF(A294&lt;DATE(2025,12,1),"",ABS(T294-F294))</x:f>
        <x:v>4</x:v>
      </x:c>
      <x:c r="W294" s="2" t="n">
        <x:f>IF(A294&lt;DATE(2025,12,1),"",ABS(U294-F294))</x:f>
        <x:v>0</x:v>
      </x:c>
      <x:c r="X294" s="2" t="n">
        <x:f>IF(A294&lt;DATE(2025,12,1),"",T294-F294)</x:f>
        <x:v>-4</x:v>
      </x:c>
      <x:c r="Y294" s="2" t="n">
        <x:f>IF(A294&lt;DATE(2025,12,1),"",U294-F294)</x:f>
        <x:v>0</x:v>
      </x:c>
      <x:c r="Z294" s="2" t="n">
        <x:f>IF(N294&gt;0,1,0)</x:f>
        <x:v>0</x:v>
      </x:c>
    </x:row>
    <x:row r="295" ht="21" customHeight="1">
      <x:c r="A295" s="6" t="n">
        <x:f>'Daily inputs'!A295</x:f>
        <x:v>46010</x:v>
      </x:c>
      <x:c r="B295" s="2" t="str">
        <x:f>'Daily inputs'!B295</x:f>
        <x:v>I06</x:v>
      </x:c>
      <x:c r="C295" s="2" t="n">
        <x:f>'Daily inputs'!C295</x:f>
        <x:v>5</x:v>
      </x:c>
      <x:c r="D295" s="2" t="str">
        <x:f>'Daily inputs'!D295</x:f>
        <x:v>December normal</x:v>
      </x:c>
      <x:c r="E295" s="7" t="n">
        <x:f>'Daily inputs'!E295</x:f>
        <x:v>3</x:v>
      </x:c>
      <x:c r="F295" s="2" t="n">
        <x:f>'Daily inputs'!F295</x:f>
        <x:v>37</x:v>
      </x:c>
      <x:c r="G295" s="2" t="n">
        <x:f>'Daily inputs'!G295</x:f>
        <x:v>5</x:v>
      </x:c>
      <x:c r="H295" s="2" t="n">
        <x:f>'Daily inputs'!H295</x:f>
        <x:v>38</x:v>
      </x:c>
      <x:c r="I295" s="2" t="n">
        <x:f>'Daily inputs'!I295</x:f>
        <x:v>0</x:v>
      </x:c>
      <x:c r="J295" s="2" t="n">
        <x:f>'Daily inputs'!J295</x:f>
        <x:v>0</x:v>
      </x:c>
      <x:c r="K295" s="2" t="n">
        <x:f>'Daily inputs'!K295</x:f>
        <x:v>0</x:v>
      </x:c>
      <x:c r="L295" s="2" t="n">
        <x:f>MIN(F295,G295+H295-I295)</x:f>
        <x:v>37</x:v>
      </x:c>
      <x:c r="M295" s="2" t="n">
        <x:f>G295+H295-L295-I295</x:f>
        <x:v>6</x:v>
      </x:c>
      <x:c r="N295" s="2" t="n">
        <x:f>F295-L295</x:f>
        <x:v>0</x:v>
      </x:c>
      <x:c r="O295" s="2" t="n">
        <x:f>N295-J295</x:f>
        <x:v>0</x:v>
      </x:c>
      <x:c r="P295" s="2" t="n">
        <x:f>L295+I295</x:f>
        <x:v>37</x:v>
      </x:c>
      <x:c r="Q295" s="8" t="n">
        <x:f>P295*E295</x:f>
        <x:v>111</x:v>
      </x:c>
      <x:c r="R295" s="8" t="n">
        <x:f>I295*E295</x:f>
        <x:v>0</x:v>
      </x:c>
      <x:c r="S295" s="8" t="n">
        <x:f>O295*E295</x:f>
        <x:v>0</x:v>
      </x:c>
      <x:c r="T295" s="2" t="n">
        <x:f>IF(A295&lt;DATE(2025,12,1),"",IF(D295="Closed",0,ROUND(AVERAGEIFS('Daily inputs'!$F$2:$F$367,'Daily inputs'!$B$2:$B$367,B295,'Daily inputs'!$C$2:$C$367,C295,'Daily inputs'!$D$2:$D$367,"Training"),0)))</x:f>
        <x:v>38</x:v>
      </x:c>
      <x:c r="U295" s="2" t="n">
        <x:f>IF(A295&lt;DATE(2025,12,1),"",ROUND(T295*IF(D295="Christmas",Notes!$B$9,Notes!$B$8),0))</x:f>
        <x:v>40</x:v>
      </x:c>
      <x:c r="V295" s="2" t="n">
        <x:f>IF(A295&lt;DATE(2025,12,1),"",ABS(T295-F295))</x:f>
        <x:v>1</x:v>
      </x:c>
      <x:c r="W295" s="2" t="n">
        <x:f>IF(A295&lt;DATE(2025,12,1),"",ABS(U295-F295))</x:f>
        <x:v>3</x:v>
      </x:c>
      <x:c r="X295" s="2" t="n">
        <x:f>IF(A295&lt;DATE(2025,12,1),"",T295-F295)</x:f>
        <x:v>1</x:v>
      </x:c>
      <x:c r="Y295" s="2" t="n">
        <x:f>IF(A295&lt;DATE(2025,12,1),"",U295-F295)</x:f>
        <x:v>3</x:v>
      </x:c>
      <x:c r="Z295" s="2" t="n">
        <x:f>IF(N295&gt;0,1,0)</x:f>
        <x:v>0</x:v>
      </x:c>
    </x:row>
    <x:row r="296" ht="21" customHeight="1">
      <x:c r="A296" s="6" t="n">
        <x:f>'Daily inputs'!A296</x:f>
        <x:v>46011</x:v>
      </x:c>
      <x:c r="B296" s="2" t="str">
        <x:f>'Daily inputs'!B296</x:f>
        <x:v>I01</x:v>
      </x:c>
      <x:c r="C296" s="2" t="n">
        <x:f>'Daily inputs'!C296</x:f>
        <x:v>6</x:v>
      </x:c>
      <x:c r="D296" s="2" t="str">
        <x:f>'Daily inputs'!D296</x:f>
        <x:v>Christmas</x:v>
      </x:c>
      <x:c r="E296" s="7" t="n">
        <x:f>'Daily inputs'!E296</x:f>
        <x:v>8.5</x:v>
      </x:c>
      <x:c r="F296" s="2" t="n">
        <x:f>'Daily inputs'!F296</x:f>
        <x:v>134</x:v>
      </x:c>
      <x:c r="G296" s="2" t="n">
        <x:f>'Daily inputs'!G296</x:f>
        <x:v>13</x:v>
      </x:c>
      <x:c r="H296" s="2" t="n">
        <x:f>'Daily inputs'!H296</x:f>
        <x:v>141</x:v>
      </x:c>
      <x:c r="I296" s="2" t="n">
        <x:f>'Daily inputs'!I296</x:f>
        <x:v>0</x:v>
      </x:c>
      <x:c r="J296" s="2" t="n">
        <x:f>'Daily inputs'!J296</x:f>
        <x:v>0</x:v>
      </x:c>
      <x:c r="K296" s="2" t="n">
        <x:f>'Daily inputs'!K296</x:f>
        <x:v>0</x:v>
      </x:c>
      <x:c r="L296" s="2" t="n">
        <x:f>MIN(F296,G296+H296-I296)</x:f>
        <x:v>134</x:v>
      </x:c>
      <x:c r="M296" s="2" t="n">
        <x:f>G296+H296-L296-I296</x:f>
        <x:v>20</x:v>
      </x:c>
      <x:c r="N296" s="2" t="n">
        <x:f>F296-L296</x:f>
        <x:v>0</x:v>
      </x:c>
      <x:c r="O296" s="2" t="n">
        <x:f>N296-J296</x:f>
        <x:v>0</x:v>
      </x:c>
      <x:c r="P296" s="2" t="n">
        <x:f>L296+I296</x:f>
        <x:v>134</x:v>
      </x:c>
      <x:c r="Q296" s="8" t="n">
        <x:f>P296*E296</x:f>
        <x:v>1139</x:v>
      </x:c>
      <x:c r="R296" s="8" t="n">
        <x:f>I296*E296</x:f>
        <x:v>0</x:v>
      </x:c>
      <x:c r="S296" s="8" t="n">
        <x:f>O296*E296</x:f>
        <x:v>0</x:v>
      </x:c>
      <x:c r="T296" s="2" t="n">
        <x:f>IF(A296&lt;DATE(2025,12,1),"",IF(D296="Closed",0,ROUND(AVERAGEIFS('Daily inputs'!$F$2:$F$367,'Daily inputs'!$B$2:$B$367,B296,'Daily inputs'!$C$2:$C$367,C296,'Daily inputs'!$D$2:$D$367,"Training"),0)))</x:f>
        <x:v>94</x:v>
      </x:c>
      <x:c r="U296" s="2" t="n">
        <x:f>IF(A296&lt;DATE(2025,12,1),"",ROUND(T296*IF(D296="Christmas",Notes!$B$9,Notes!$B$8),0))</x:f>
        <x:v>113</x:v>
      </x:c>
      <x:c r="V296" s="2" t="n">
        <x:f>IF(A296&lt;DATE(2025,12,1),"",ABS(T296-F296))</x:f>
        <x:v>40</x:v>
      </x:c>
      <x:c r="W296" s="2" t="n">
        <x:f>IF(A296&lt;DATE(2025,12,1),"",ABS(U296-F296))</x:f>
        <x:v>21</x:v>
      </x:c>
      <x:c r="X296" s="2" t="n">
        <x:f>IF(A296&lt;DATE(2025,12,1),"",T296-F296)</x:f>
        <x:v>-40</x:v>
      </x:c>
      <x:c r="Y296" s="2" t="n">
        <x:f>IF(A296&lt;DATE(2025,12,1),"",U296-F296)</x:f>
        <x:v>-21</x:v>
      </x:c>
      <x:c r="Z296" s="2" t="n">
        <x:f>IF(N296&gt;0,1,0)</x:f>
        <x:v>0</x:v>
      </x:c>
    </x:row>
    <x:row r="297" ht="21" customHeight="1">
      <x:c r="A297" s="6" t="n">
        <x:f>'Daily inputs'!A297</x:f>
        <x:v>46011</x:v>
      </x:c>
      <x:c r="B297" s="2" t="str">
        <x:f>'Daily inputs'!B297</x:f>
        <x:v>I02</x:v>
      </x:c>
      <x:c r="C297" s="2" t="n">
        <x:f>'Daily inputs'!C297</x:f>
        <x:v>6</x:v>
      </x:c>
      <x:c r="D297" s="2" t="str">
        <x:f>'Daily inputs'!D297</x:f>
        <x:v>Christmas</x:v>
      </x:c>
      <x:c r="E297" s="7" t="n">
        <x:f>'Daily inputs'!E297</x:f>
        <x:v>8</x:v>
      </x:c>
      <x:c r="F297" s="2" t="n">
        <x:f>'Daily inputs'!F297</x:f>
        <x:v>110</x:v>
      </x:c>
      <x:c r="G297" s="2" t="n">
        <x:f>'Daily inputs'!G297</x:f>
        <x:v>11</x:v>
      </x:c>
      <x:c r="H297" s="2" t="n">
        <x:f>'Daily inputs'!H297</x:f>
        <x:v>115</x:v>
      </x:c>
      <x:c r="I297" s="2" t="n">
        <x:f>'Daily inputs'!I297</x:f>
        <x:v>0</x:v>
      </x:c>
      <x:c r="J297" s="2" t="n">
        <x:f>'Daily inputs'!J297</x:f>
        <x:v>0</x:v>
      </x:c>
      <x:c r="K297" s="2" t="n">
        <x:f>'Daily inputs'!K297</x:f>
        <x:v>0</x:v>
      </x:c>
      <x:c r="L297" s="2" t="n">
        <x:f>MIN(F297,G297+H297-I297)</x:f>
        <x:v>110</x:v>
      </x:c>
      <x:c r="M297" s="2" t="n">
        <x:f>G297+H297-L297-I297</x:f>
        <x:v>16</x:v>
      </x:c>
      <x:c r="N297" s="2" t="n">
        <x:f>F297-L297</x:f>
        <x:v>0</x:v>
      </x:c>
      <x:c r="O297" s="2" t="n">
        <x:f>N297-J297</x:f>
        <x:v>0</x:v>
      </x:c>
      <x:c r="P297" s="2" t="n">
        <x:f>L297+I297</x:f>
        <x:v>110</x:v>
      </x:c>
      <x:c r="Q297" s="8" t="n">
        <x:f>P297*E297</x:f>
        <x:v>880</x:v>
      </x:c>
      <x:c r="R297" s="8" t="n">
        <x:f>I297*E297</x:f>
        <x:v>0</x:v>
      </x:c>
      <x:c r="S297" s="8" t="n">
        <x:f>O297*E297</x:f>
        <x:v>0</x:v>
      </x:c>
      <x:c r="T297" s="2" t="n">
        <x:f>IF(A297&lt;DATE(2025,12,1),"",IF(D297="Closed",0,ROUND(AVERAGEIFS('Daily inputs'!$F$2:$F$367,'Daily inputs'!$B$2:$B$367,B297,'Daily inputs'!$C$2:$C$367,C297,'Daily inputs'!$D$2:$D$367,"Training"),0)))</x:f>
        <x:v>76</x:v>
      </x:c>
      <x:c r="U297" s="2" t="n">
        <x:f>IF(A297&lt;DATE(2025,12,1),"",ROUND(T297*IF(D297="Christmas",Notes!$B$9,Notes!$B$8),0))</x:f>
        <x:v>91</x:v>
      </x:c>
      <x:c r="V297" s="2" t="n">
        <x:f>IF(A297&lt;DATE(2025,12,1),"",ABS(T297-F297))</x:f>
        <x:v>34</x:v>
      </x:c>
      <x:c r="W297" s="2" t="n">
        <x:f>IF(A297&lt;DATE(2025,12,1),"",ABS(U297-F297))</x:f>
        <x:v>19</x:v>
      </x:c>
      <x:c r="X297" s="2" t="n">
        <x:f>IF(A297&lt;DATE(2025,12,1),"",T297-F297)</x:f>
        <x:v>-34</x:v>
      </x:c>
      <x:c r="Y297" s="2" t="n">
        <x:f>IF(A297&lt;DATE(2025,12,1),"",U297-F297)</x:f>
        <x:v>-19</x:v>
      </x:c>
      <x:c r="Z297" s="2" t="n">
        <x:f>IF(N297&gt;0,1,0)</x:f>
        <x:v>0</x:v>
      </x:c>
    </x:row>
    <x:row r="298" ht="21" customHeight="1">
      <x:c r="A298" s="6" t="n">
        <x:f>'Daily inputs'!A298</x:f>
        <x:v>46011</x:v>
      </x:c>
      <x:c r="B298" s="2" t="str">
        <x:f>'Daily inputs'!B298</x:f>
        <x:v>I03</x:v>
      </x:c>
      <x:c r="C298" s="2" t="n">
        <x:f>'Daily inputs'!C298</x:f>
        <x:v>6</x:v>
      </x:c>
      <x:c r="D298" s="2" t="str">
        <x:f>'Daily inputs'!D298</x:f>
        <x:v>Christmas</x:v>
      </x:c>
      <x:c r="E298" s="7" t="n">
        <x:f>'Daily inputs'!E298</x:f>
        <x:v>7.5</x:v>
      </x:c>
      <x:c r="F298" s="2" t="n">
        <x:f>'Daily inputs'!F298</x:f>
        <x:v>57</x:v>
      </x:c>
      <x:c r="G298" s="2" t="n">
        <x:f>'Daily inputs'!G298</x:f>
        <x:v>6</x:v>
      </x:c>
      <x:c r="H298" s="2" t="n">
        <x:f>'Daily inputs'!H298</x:f>
        <x:v>60</x:v>
      </x:c>
      <x:c r="I298" s="2" t="n">
        <x:f>'Daily inputs'!I298</x:f>
        <x:v>0</x:v>
      </x:c>
      <x:c r="J298" s="2" t="n">
        <x:f>'Daily inputs'!J298</x:f>
        <x:v>0</x:v>
      </x:c>
      <x:c r="K298" s="2" t="n">
        <x:f>'Daily inputs'!K298</x:f>
        <x:v>0</x:v>
      </x:c>
      <x:c r="L298" s="2" t="n">
        <x:f>MIN(F298,G298+H298-I298)</x:f>
        <x:v>57</x:v>
      </x:c>
      <x:c r="M298" s="2" t="n">
        <x:f>G298+H298-L298-I298</x:f>
        <x:v>9</x:v>
      </x:c>
      <x:c r="N298" s="2" t="n">
        <x:f>F298-L298</x:f>
        <x:v>0</x:v>
      </x:c>
      <x:c r="O298" s="2" t="n">
        <x:f>N298-J298</x:f>
        <x:v>0</x:v>
      </x:c>
      <x:c r="P298" s="2" t="n">
        <x:f>L298+I298</x:f>
        <x:v>57</x:v>
      </x:c>
      <x:c r="Q298" s="8" t="n">
        <x:f>P298*E298</x:f>
        <x:v>427.5</x:v>
      </x:c>
      <x:c r="R298" s="8" t="n">
        <x:f>I298*E298</x:f>
        <x:v>0</x:v>
      </x:c>
      <x:c r="S298" s="8" t="n">
        <x:f>O298*E298</x:f>
        <x:v>0</x:v>
      </x:c>
      <x:c r="T298" s="2" t="n">
        <x:f>IF(A298&lt;DATE(2025,12,1),"",IF(D298="Closed",0,ROUND(AVERAGEIFS('Daily inputs'!$F$2:$F$367,'Daily inputs'!$B$2:$B$367,B298,'Daily inputs'!$C$2:$C$367,C298,'Daily inputs'!$D$2:$D$367,"Training"),0)))</x:f>
        <x:v>43</x:v>
      </x:c>
      <x:c r="U298" s="2" t="n">
        <x:f>IF(A298&lt;DATE(2025,12,1),"",ROUND(T298*IF(D298="Christmas",Notes!$B$9,Notes!$B$8),0))</x:f>
        <x:v>52</x:v>
      </x:c>
      <x:c r="V298" s="2" t="n">
        <x:f>IF(A298&lt;DATE(2025,12,1),"",ABS(T298-F298))</x:f>
        <x:v>14</x:v>
      </x:c>
      <x:c r="W298" s="2" t="n">
        <x:f>IF(A298&lt;DATE(2025,12,1),"",ABS(U298-F298))</x:f>
        <x:v>5</x:v>
      </x:c>
      <x:c r="X298" s="2" t="n">
        <x:f>IF(A298&lt;DATE(2025,12,1),"",T298-F298)</x:f>
        <x:v>-14</x:v>
      </x:c>
      <x:c r="Y298" s="2" t="n">
        <x:f>IF(A298&lt;DATE(2025,12,1),"",U298-F298)</x:f>
        <x:v>-5</x:v>
      </x:c>
      <x:c r="Z298" s="2" t="n">
        <x:f>IF(N298&gt;0,1,0)</x:f>
        <x:v>0</x:v>
      </x:c>
    </x:row>
    <x:row r="299" ht="21" customHeight="1">
      <x:c r="A299" s="6" t="n">
        <x:f>'Daily inputs'!A299</x:f>
        <x:v>46011</x:v>
      </x:c>
      <x:c r="B299" s="2" t="str">
        <x:f>'Daily inputs'!B299</x:f>
        <x:v>I04</x:v>
      </x:c>
      <x:c r="C299" s="2" t="n">
        <x:f>'Daily inputs'!C299</x:f>
        <x:v>6</x:v>
      </x:c>
      <x:c r="D299" s="2" t="str">
        <x:f>'Daily inputs'!D299</x:f>
        <x:v>Christmas</x:v>
      </x:c>
      <x:c r="E299" s="7" t="n">
        <x:f>'Daily inputs'!E299</x:f>
        <x:v>9</x:v>
      </x:c>
      <x:c r="F299" s="2" t="n">
        <x:f>'Daily inputs'!F299</x:f>
        <x:v>62</x:v>
      </x:c>
      <x:c r="G299" s="2" t="n">
        <x:f>'Daily inputs'!G299</x:f>
        <x:v>7</x:v>
      </x:c>
      <x:c r="H299" s="2" t="n">
        <x:f>'Daily inputs'!H299</x:f>
        <x:v>64</x:v>
      </x:c>
      <x:c r="I299" s="2" t="n">
        <x:f>'Daily inputs'!I299</x:f>
        <x:v>0</x:v>
      </x:c>
      <x:c r="J299" s="2" t="n">
        <x:f>'Daily inputs'!J299</x:f>
        <x:v>0</x:v>
      </x:c>
      <x:c r="K299" s="2" t="n">
        <x:f>'Daily inputs'!K299</x:f>
        <x:v>0</x:v>
      </x:c>
      <x:c r="L299" s="2" t="n">
        <x:f>MIN(F299,G299+H299-I299)</x:f>
        <x:v>62</x:v>
      </x:c>
      <x:c r="M299" s="2" t="n">
        <x:f>G299+H299-L299-I299</x:f>
        <x:v>9</x:v>
      </x:c>
      <x:c r="N299" s="2" t="n">
        <x:f>F299-L299</x:f>
        <x:v>0</x:v>
      </x:c>
      <x:c r="O299" s="2" t="n">
        <x:f>N299-J299</x:f>
        <x:v>0</x:v>
      </x:c>
      <x:c r="P299" s="2" t="n">
        <x:f>L299+I299</x:f>
        <x:v>62</x:v>
      </x:c>
      <x:c r="Q299" s="8" t="n">
        <x:f>P299*E299</x:f>
        <x:v>558</x:v>
      </x:c>
      <x:c r="R299" s="8" t="n">
        <x:f>I299*E299</x:f>
        <x:v>0</x:v>
      </x:c>
      <x:c r="S299" s="8" t="n">
        <x:f>O299*E299</x:f>
        <x:v>0</x:v>
      </x:c>
      <x:c r="T299" s="2" t="n">
        <x:f>IF(A299&lt;DATE(2025,12,1),"",IF(D299="Closed",0,ROUND(AVERAGEIFS('Daily inputs'!$F$2:$F$367,'Daily inputs'!$B$2:$B$367,B299,'Daily inputs'!$C$2:$C$367,C299,'Daily inputs'!$D$2:$D$367,"Training"),0)))</x:f>
        <x:v>52</x:v>
      </x:c>
      <x:c r="U299" s="2" t="n">
        <x:f>IF(A299&lt;DATE(2025,12,1),"",ROUND(T299*IF(D299="Christmas",Notes!$B$9,Notes!$B$8),0))</x:f>
        <x:v>62</x:v>
      </x:c>
      <x:c r="V299" s="2" t="n">
        <x:f>IF(A299&lt;DATE(2025,12,1),"",ABS(T299-F299))</x:f>
        <x:v>10</x:v>
      </x:c>
      <x:c r="W299" s="2" t="n">
        <x:f>IF(A299&lt;DATE(2025,12,1),"",ABS(U299-F299))</x:f>
        <x:v>0</x:v>
      </x:c>
      <x:c r="X299" s="2" t="n">
        <x:f>IF(A299&lt;DATE(2025,12,1),"",T299-F299)</x:f>
        <x:v>-10</x:v>
      </x:c>
      <x:c r="Y299" s="2" t="n">
        <x:f>IF(A299&lt;DATE(2025,12,1),"",U299-F299)</x:f>
        <x:v>0</x:v>
      </x:c>
      <x:c r="Z299" s="2" t="n">
        <x:f>IF(N299&gt;0,1,0)</x:f>
        <x:v>0</x:v>
      </x:c>
    </x:row>
    <x:row r="300" ht="21" customHeight="1">
      <x:c r="A300" s="6" t="n">
        <x:f>'Daily inputs'!A300</x:f>
        <x:v>46011</x:v>
      </x:c>
      <x:c r="B300" s="2" t="str">
        <x:f>'Daily inputs'!B300</x:f>
        <x:v>I05</x:v>
      </x:c>
      <x:c r="C300" s="2" t="n">
        <x:f>'Daily inputs'!C300</x:f>
        <x:v>6</x:v>
      </x:c>
      <x:c r="D300" s="2" t="str">
        <x:f>'Daily inputs'!D300</x:f>
        <x:v>Christmas</x:v>
      </x:c>
      <x:c r="E300" s="7" t="n">
        <x:f>'Daily inputs'!E300</x:f>
        <x:v>3.5</x:v>
      </x:c>
      <x:c r="F300" s="2" t="n">
        <x:f>'Daily inputs'!F300</x:f>
        <x:v>136</x:v>
      </x:c>
      <x:c r="G300" s="2" t="n">
        <x:f>'Daily inputs'!G300</x:f>
        <x:v>15</x:v>
      </x:c>
      <x:c r="H300" s="2" t="n">
        <x:f>'Daily inputs'!H300</x:f>
        <x:v>141</x:v>
      </x:c>
      <x:c r="I300" s="2" t="n">
        <x:f>'Daily inputs'!I300</x:f>
        <x:v>0</x:v>
      </x:c>
      <x:c r="J300" s="2" t="n">
        <x:f>'Daily inputs'!J300</x:f>
        <x:v>0</x:v>
      </x:c>
      <x:c r="K300" s="2" t="n">
        <x:f>'Daily inputs'!K300</x:f>
        <x:v>0</x:v>
      </x:c>
      <x:c r="L300" s="2" t="n">
        <x:f>MIN(F300,G300+H300-I300)</x:f>
        <x:v>136</x:v>
      </x:c>
      <x:c r="M300" s="2" t="n">
        <x:f>G300+H300-L300-I300</x:f>
        <x:v>20</x:v>
      </x:c>
      <x:c r="N300" s="2" t="n">
        <x:f>F300-L300</x:f>
        <x:v>0</x:v>
      </x:c>
      <x:c r="O300" s="2" t="n">
        <x:f>N300-J300</x:f>
        <x:v>0</x:v>
      </x:c>
      <x:c r="P300" s="2" t="n">
        <x:f>L300+I300</x:f>
        <x:v>136</x:v>
      </x:c>
      <x:c r="Q300" s="8" t="n">
        <x:f>P300*E300</x:f>
        <x:v>476</x:v>
      </x:c>
      <x:c r="R300" s="8" t="n">
        <x:f>I300*E300</x:f>
        <x:v>0</x:v>
      </x:c>
      <x:c r="S300" s="8" t="n">
        <x:f>O300*E300</x:f>
        <x:v>0</x:v>
      </x:c>
      <x:c r="T300" s="2" t="n">
        <x:f>IF(A300&lt;DATE(2025,12,1),"",IF(D300="Closed",0,ROUND(AVERAGEIFS('Daily inputs'!$F$2:$F$367,'Daily inputs'!$B$2:$B$367,B300,'Daily inputs'!$C$2:$C$367,C300,'Daily inputs'!$D$2:$D$367,"Training"),0)))</x:f>
        <x:v>106</x:v>
      </x:c>
      <x:c r="U300" s="2" t="n">
        <x:f>IF(A300&lt;DATE(2025,12,1),"",ROUND(T300*IF(D300="Christmas",Notes!$B$9,Notes!$B$8),0))</x:f>
        <x:v>127</x:v>
      </x:c>
      <x:c r="V300" s="2" t="n">
        <x:f>IF(A300&lt;DATE(2025,12,1),"",ABS(T300-F300))</x:f>
        <x:v>30</x:v>
      </x:c>
      <x:c r="W300" s="2" t="n">
        <x:f>IF(A300&lt;DATE(2025,12,1),"",ABS(U300-F300))</x:f>
        <x:v>9</x:v>
      </x:c>
      <x:c r="X300" s="2" t="n">
        <x:f>IF(A300&lt;DATE(2025,12,1),"",T300-F300)</x:f>
        <x:v>-30</x:v>
      </x:c>
      <x:c r="Y300" s="2" t="n">
        <x:f>IF(A300&lt;DATE(2025,12,1),"",U300-F300)</x:f>
        <x:v>-9</x:v>
      </x:c>
      <x:c r="Z300" s="2" t="n">
        <x:f>IF(N300&gt;0,1,0)</x:f>
        <x:v>0</x:v>
      </x:c>
    </x:row>
    <x:row r="301" ht="21" customHeight="1">
      <x:c r="A301" s="6" t="n">
        <x:f>'Daily inputs'!A301</x:f>
        <x:v>46011</x:v>
      </x:c>
      <x:c r="B301" s="2" t="str">
        <x:f>'Daily inputs'!B301</x:f>
        <x:v>I06</x:v>
      </x:c>
      <x:c r="C301" s="2" t="n">
        <x:f>'Daily inputs'!C301</x:f>
        <x:v>6</x:v>
      </x:c>
      <x:c r="D301" s="2" t="str">
        <x:f>'Daily inputs'!D301</x:f>
        <x:v>Christmas</x:v>
      </x:c>
      <x:c r="E301" s="7" t="n">
        <x:f>'Daily inputs'!E301</x:f>
        <x:v>3</x:v>
      </x:c>
      <x:c r="F301" s="2" t="n">
        <x:f>'Daily inputs'!F301</x:f>
        <x:v>51</x:v>
      </x:c>
      <x:c r="G301" s="2" t="n">
        <x:f>'Daily inputs'!G301</x:f>
        <x:v>6</x:v>
      </x:c>
      <x:c r="H301" s="2" t="n">
        <x:f>'Daily inputs'!H301</x:f>
        <x:v>53</x:v>
      </x:c>
      <x:c r="I301" s="2" t="n">
        <x:f>'Daily inputs'!I301</x:f>
        <x:v>0</x:v>
      </x:c>
      <x:c r="J301" s="2" t="n">
        <x:f>'Daily inputs'!J301</x:f>
        <x:v>0</x:v>
      </x:c>
      <x:c r="K301" s="2" t="n">
        <x:f>'Daily inputs'!K301</x:f>
        <x:v>0</x:v>
      </x:c>
      <x:c r="L301" s="2" t="n">
        <x:f>MIN(F301,G301+H301-I301)</x:f>
        <x:v>51</x:v>
      </x:c>
      <x:c r="M301" s="2" t="n">
        <x:f>G301+H301-L301-I301</x:f>
        <x:v>8</x:v>
      </x:c>
      <x:c r="N301" s="2" t="n">
        <x:f>F301-L301</x:f>
        <x:v>0</x:v>
      </x:c>
      <x:c r="O301" s="2" t="n">
        <x:f>N301-J301</x:f>
        <x:v>0</x:v>
      </x:c>
      <x:c r="P301" s="2" t="n">
        <x:f>L301+I301</x:f>
        <x:v>51</x:v>
      </x:c>
      <x:c r="Q301" s="8" t="n">
        <x:f>P301*E301</x:f>
        <x:v>153</x:v>
      </x:c>
      <x:c r="R301" s="8" t="n">
        <x:f>I301*E301</x:f>
        <x:v>0</x:v>
      </x:c>
      <x:c r="S301" s="8" t="n">
        <x:f>O301*E301</x:f>
        <x:v>0</x:v>
      </x:c>
      <x:c r="T301" s="2" t="n">
        <x:f>IF(A301&lt;DATE(2025,12,1),"",IF(D301="Closed",0,ROUND(AVERAGEIFS('Daily inputs'!$F$2:$F$367,'Daily inputs'!$B$2:$B$367,B301,'Daily inputs'!$C$2:$C$367,C301,'Daily inputs'!$D$2:$D$367,"Training"),0)))</x:f>
        <x:v>39</x:v>
      </x:c>
      <x:c r="U301" s="2" t="n">
        <x:f>IF(A301&lt;DATE(2025,12,1),"",ROUND(T301*IF(D301="Christmas",Notes!$B$9,Notes!$B$8),0))</x:f>
        <x:v>47</x:v>
      </x:c>
      <x:c r="V301" s="2" t="n">
        <x:f>IF(A301&lt;DATE(2025,12,1),"",ABS(T301-F301))</x:f>
        <x:v>12</x:v>
      </x:c>
      <x:c r="W301" s="2" t="n">
        <x:f>IF(A301&lt;DATE(2025,12,1),"",ABS(U301-F301))</x:f>
        <x:v>4</x:v>
      </x:c>
      <x:c r="X301" s="2" t="n">
        <x:f>IF(A301&lt;DATE(2025,12,1),"",T301-F301)</x:f>
        <x:v>-12</x:v>
      </x:c>
      <x:c r="Y301" s="2" t="n">
        <x:f>IF(A301&lt;DATE(2025,12,1),"",U301-F301)</x:f>
        <x:v>-4</x:v>
      </x:c>
      <x:c r="Z301" s="2" t="n">
        <x:f>IF(N301&gt;0,1,0)</x:f>
        <x:v>0</x:v>
      </x:c>
    </x:row>
    <x:row r="302" ht="21" customHeight="1">
      <x:c r="A302" s="6" t="n">
        <x:f>'Daily inputs'!A302</x:f>
        <x:v>46012</x:v>
      </x:c>
      <x:c r="B302" s="2" t="str">
        <x:f>'Daily inputs'!B302</x:f>
        <x:v>I01</x:v>
      </x:c>
      <x:c r="C302" s="2" t="n">
        <x:f>'Daily inputs'!C302</x:f>
        <x:v>7</x:v>
      </x:c>
      <x:c r="D302" s="2" t="str">
        <x:f>'Daily inputs'!D302</x:f>
        <x:v>Christmas</x:v>
      </x:c>
      <x:c r="E302" s="7" t="n">
        <x:f>'Daily inputs'!E302</x:f>
        <x:v>8.5</x:v>
      </x:c>
      <x:c r="F302" s="2" t="n">
        <x:f>'Daily inputs'!F302</x:f>
        <x:v>120</x:v>
      </x:c>
      <x:c r="G302" s="2" t="n">
        <x:f>'Daily inputs'!G302</x:f>
        <x:v>20</x:v>
      </x:c>
      <x:c r="H302" s="2" t="n">
        <x:f>'Daily inputs'!H302</x:f>
        <x:v>57</x:v>
      </x:c>
      <x:c r="I302" s="2" t="n">
        <x:f>'Daily inputs'!I302</x:f>
        <x:v>0</x:v>
      </x:c>
      <x:c r="J302" s="2" t="n">
        <x:f>'Daily inputs'!J302</x:f>
        <x:v>15</x:v>
      </x:c>
      <x:c r="K302" s="2" t="n">
        <x:f>'Daily inputs'!K302</x:f>
        <x:v>3.6</x:v>
      </x:c>
      <x:c r="L302" s="2" t="n">
        <x:f>MIN(F302,G302+H302-I302)</x:f>
        <x:v>77</x:v>
      </x:c>
      <x:c r="M302" s="2" t="n">
        <x:f>G302+H302-L302-I302</x:f>
        <x:v>0</x:v>
      </x:c>
      <x:c r="N302" s="2" t="n">
        <x:f>F302-L302</x:f>
        <x:v>43</x:v>
      </x:c>
      <x:c r="O302" s="2" t="n">
        <x:f>N302-J302</x:f>
        <x:v>28</x:v>
      </x:c>
      <x:c r="P302" s="2" t="n">
        <x:f>L302+I302</x:f>
        <x:v>77</x:v>
      </x:c>
      <x:c r="Q302" s="8" t="n">
        <x:f>P302*E302</x:f>
        <x:v>654.5</x:v>
      </x:c>
      <x:c r="R302" s="8" t="n">
        <x:f>I302*E302</x:f>
        <x:v>0</x:v>
      </x:c>
      <x:c r="S302" s="8" t="n">
        <x:f>O302*E302</x:f>
        <x:v>238</x:v>
      </x:c>
      <x:c r="T302" s="2" t="n">
        <x:f>IF(A302&lt;DATE(2025,12,1),"",IF(D302="Closed",0,ROUND(AVERAGEIFS('Daily inputs'!$F$2:$F$367,'Daily inputs'!$B$2:$B$367,B302,'Daily inputs'!$C$2:$C$367,C302,'Daily inputs'!$D$2:$D$367,"Training"),0)))</x:f>
        <x:v>80</x:v>
      </x:c>
      <x:c r="U302" s="2" t="n">
        <x:f>IF(A302&lt;DATE(2025,12,1),"",ROUND(T302*IF(D302="Christmas",Notes!$B$9,Notes!$B$8),0))</x:f>
        <x:v>96</x:v>
      </x:c>
      <x:c r="V302" s="2" t="n">
        <x:f>IF(A302&lt;DATE(2025,12,1),"",ABS(T302-F302))</x:f>
        <x:v>40</x:v>
      </x:c>
      <x:c r="W302" s="2" t="n">
        <x:f>IF(A302&lt;DATE(2025,12,1),"",ABS(U302-F302))</x:f>
        <x:v>24</x:v>
      </x:c>
      <x:c r="X302" s="2" t="n">
        <x:f>IF(A302&lt;DATE(2025,12,1),"",T302-F302)</x:f>
        <x:v>-40</x:v>
      </x:c>
      <x:c r="Y302" s="2" t="n">
        <x:f>IF(A302&lt;DATE(2025,12,1),"",U302-F302)</x:f>
        <x:v>-24</x:v>
      </x:c>
      <x:c r="Z302" s="2" t="n">
        <x:f>IF(N302&gt;0,1,0)</x:f>
        <x:v>1</x:v>
      </x:c>
    </x:row>
    <x:row r="303" ht="21" customHeight="1">
      <x:c r="A303" s="6" t="n">
        <x:f>'Daily inputs'!A303</x:f>
        <x:v>46012</x:v>
      </x:c>
      <x:c r="B303" s="2" t="str">
        <x:f>'Daily inputs'!B303</x:f>
        <x:v>I02</x:v>
      </x:c>
      <x:c r="C303" s="2" t="n">
        <x:f>'Daily inputs'!C303</x:f>
        <x:v>7</x:v>
      </x:c>
      <x:c r="D303" s="2" t="str">
        <x:f>'Daily inputs'!D303</x:f>
        <x:v>Christmas</x:v>
      </x:c>
      <x:c r="E303" s="7" t="n">
        <x:f>'Daily inputs'!E303</x:f>
        <x:v>8</x:v>
      </x:c>
      <x:c r="F303" s="2" t="n">
        <x:f>'Daily inputs'!F303</x:f>
        <x:v>87</x:v>
      </x:c>
      <x:c r="G303" s="2" t="n">
        <x:f>'Daily inputs'!G303</x:f>
        <x:v>16</x:v>
      </x:c>
      <x:c r="H303" s="2" t="n">
        <x:f>'Daily inputs'!H303</x:f>
        <x:v>40</x:v>
      </x:c>
      <x:c r="I303" s="2" t="n">
        <x:f>'Daily inputs'!I303</x:f>
        <x:v>0</x:v>
      </x:c>
      <x:c r="J303" s="2" t="n">
        <x:f>'Daily inputs'!J303</x:f>
        <x:v>11</x:v>
      </x:c>
      <x:c r="K303" s="2" t="n">
        <x:f>'Daily inputs'!K303</x:f>
        <x:v>3.6</x:v>
      </x:c>
      <x:c r="L303" s="2" t="n">
        <x:f>MIN(F303,G303+H303-I303)</x:f>
        <x:v>56</x:v>
      </x:c>
      <x:c r="M303" s="2" t="n">
        <x:f>G303+H303-L303-I303</x:f>
        <x:v>0</x:v>
      </x:c>
      <x:c r="N303" s="2" t="n">
        <x:f>F303-L303</x:f>
        <x:v>31</x:v>
      </x:c>
      <x:c r="O303" s="2" t="n">
        <x:f>N303-J303</x:f>
        <x:v>20</x:v>
      </x:c>
      <x:c r="P303" s="2" t="n">
        <x:f>L303+I303</x:f>
        <x:v>56</x:v>
      </x:c>
      <x:c r="Q303" s="8" t="n">
        <x:f>P303*E303</x:f>
        <x:v>448</x:v>
      </x:c>
      <x:c r="R303" s="8" t="n">
        <x:f>I303*E303</x:f>
        <x:v>0</x:v>
      </x:c>
      <x:c r="S303" s="8" t="n">
        <x:f>O303*E303</x:f>
        <x:v>160</x:v>
      </x:c>
      <x:c r="T303" s="2" t="n">
        <x:f>IF(A303&lt;DATE(2025,12,1),"",IF(D303="Closed",0,ROUND(AVERAGEIFS('Daily inputs'!$F$2:$F$367,'Daily inputs'!$B$2:$B$367,B303,'Daily inputs'!$C$2:$C$367,C303,'Daily inputs'!$D$2:$D$367,"Training"),0)))</x:f>
        <x:v>64</x:v>
      </x:c>
      <x:c r="U303" s="2" t="n">
        <x:f>IF(A303&lt;DATE(2025,12,1),"",ROUND(T303*IF(D303="Christmas",Notes!$B$9,Notes!$B$8),0))</x:f>
        <x:v>77</x:v>
      </x:c>
      <x:c r="V303" s="2" t="n">
        <x:f>IF(A303&lt;DATE(2025,12,1),"",ABS(T303-F303))</x:f>
        <x:v>23</x:v>
      </x:c>
      <x:c r="W303" s="2" t="n">
        <x:f>IF(A303&lt;DATE(2025,12,1),"",ABS(U303-F303))</x:f>
        <x:v>10</x:v>
      </x:c>
      <x:c r="X303" s="2" t="n">
        <x:f>IF(A303&lt;DATE(2025,12,1),"",T303-F303)</x:f>
        <x:v>-23</x:v>
      </x:c>
      <x:c r="Y303" s="2" t="n">
        <x:f>IF(A303&lt;DATE(2025,12,1),"",U303-F303)</x:f>
        <x:v>-10</x:v>
      </x:c>
      <x:c r="Z303" s="2" t="n">
        <x:f>IF(N303&gt;0,1,0)</x:f>
        <x:v>1</x:v>
      </x:c>
    </x:row>
    <x:row r="304" ht="21" customHeight="1">
      <x:c r="A304" s="6" t="n">
        <x:f>'Daily inputs'!A304</x:f>
        <x:v>46012</x:v>
      </x:c>
      <x:c r="B304" s="2" t="str">
        <x:f>'Daily inputs'!B304</x:f>
        <x:v>I03</x:v>
      </x:c>
      <x:c r="C304" s="2" t="n">
        <x:f>'Daily inputs'!C304</x:f>
        <x:v>7</x:v>
      </x:c>
      <x:c r="D304" s="2" t="str">
        <x:f>'Daily inputs'!D304</x:f>
        <x:v>Christmas</x:v>
      </x:c>
      <x:c r="E304" s="7" t="n">
        <x:f>'Daily inputs'!E304</x:f>
        <x:v>7.5</x:v>
      </x:c>
      <x:c r="F304" s="2" t="n">
        <x:f>'Daily inputs'!F304</x:f>
        <x:v>45</x:v>
      </x:c>
      <x:c r="G304" s="2" t="n">
        <x:f>'Daily inputs'!G304</x:f>
        <x:v>9</x:v>
      </x:c>
      <x:c r="H304" s="2" t="n">
        <x:f>'Daily inputs'!H304</x:f>
        <x:v>68</x:v>
      </x:c>
      <x:c r="I304" s="2" t="n">
        <x:f>'Daily inputs'!I304</x:f>
        <x:v>26</x:v>
      </x:c>
      <x:c r="J304" s="2" t="n">
        <x:f>'Daily inputs'!J304</x:f>
        <x:v>0</x:v>
      </x:c>
      <x:c r="K304" s="2" t="n">
        <x:f>'Daily inputs'!K304</x:f>
        <x:v>0</x:v>
      </x:c>
      <x:c r="L304" s="2" t="n">
        <x:f>MIN(F304,G304+H304-I304)</x:f>
        <x:v>45</x:v>
      </x:c>
      <x:c r="M304" s="2" t="n">
        <x:f>G304+H304-L304-I304</x:f>
        <x:v>6</x:v>
      </x:c>
      <x:c r="N304" s="2" t="n">
        <x:f>F304-L304</x:f>
        <x:v>0</x:v>
      </x:c>
      <x:c r="O304" s="2" t="n">
        <x:f>N304-J304</x:f>
        <x:v>0</x:v>
      </x:c>
      <x:c r="P304" s="2" t="n">
        <x:f>L304+I304</x:f>
        <x:v>71</x:v>
      </x:c>
      <x:c r="Q304" s="8" t="n">
        <x:f>P304*E304</x:f>
        <x:v>532.5</x:v>
      </x:c>
      <x:c r="R304" s="8" t="n">
        <x:f>I304*E304</x:f>
        <x:v>195</x:v>
      </x:c>
      <x:c r="S304" s="8" t="n">
        <x:f>O304*E304</x:f>
        <x:v>0</x:v>
      </x:c>
      <x:c r="T304" s="2" t="n">
        <x:f>IF(A304&lt;DATE(2025,12,1),"",IF(D304="Closed",0,ROUND(AVERAGEIFS('Daily inputs'!$F$2:$F$367,'Daily inputs'!$B$2:$B$367,B304,'Daily inputs'!$C$2:$C$367,C304,'Daily inputs'!$D$2:$D$367,"Training"),0)))</x:f>
        <x:v>38</x:v>
      </x:c>
      <x:c r="U304" s="2" t="n">
        <x:f>IF(A304&lt;DATE(2025,12,1),"",ROUND(T304*IF(D304="Christmas",Notes!$B$9,Notes!$B$8),0))</x:f>
        <x:v>46</x:v>
      </x:c>
      <x:c r="V304" s="2" t="n">
        <x:f>IF(A304&lt;DATE(2025,12,1),"",ABS(T304-F304))</x:f>
        <x:v>7</x:v>
      </x:c>
      <x:c r="W304" s="2" t="n">
        <x:f>IF(A304&lt;DATE(2025,12,1),"",ABS(U304-F304))</x:f>
        <x:v>1</x:v>
      </x:c>
      <x:c r="X304" s="2" t="n">
        <x:f>IF(A304&lt;DATE(2025,12,1),"",T304-F304)</x:f>
        <x:v>-7</x:v>
      </x:c>
      <x:c r="Y304" s="2" t="n">
        <x:f>IF(A304&lt;DATE(2025,12,1),"",U304-F304)</x:f>
        <x:v>1</x:v>
      </x:c>
      <x:c r="Z304" s="2" t="n">
        <x:f>IF(N304&gt;0,1,0)</x:f>
        <x:v>0</x:v>
      </x:c>
    </x:row>
    <x:row r="305" ht="21" customHeight="1">
      <x:c r="A305" s="6" t="n">
        <x:f>'Daily inputs'!A305</x:f>
        <x:v>46012</x:v>
      </x:c>
      <x:c r="B305" s="2" t="str">
        <x:f>'Daily inputs'!B305</x:f>
        <x:v>I04</x:v>
      </x:c>
      <x:c r="C305" s="2" t="n">
        <x:f>'Daily inputs'!C305</x:f>
        <x:v>7</x:v>
      </x:c>
      <x:c r="D305" s="2" t="str">
        <x:f>'Daily inputs'!D305</x:f>
        <x:v>Christmas</x:v>
      </x:c>
      <x:c r="E305" s="7" t="n">
        <x:f>'Daily inputs'!E305</x:f>
        <x:v>9</x:v>
      </x:c>
      <x:c r="F305" s="2" t="n">
        <x:f>'Daily inputs'!F305</x:f>
        <x:v>55</x:v>
      </x:c>
      <x:c r="G305" s="2" t="n">
        <x:f>'Daily inputs'!G305</x:f>
        <x:v>9</x:v>
      </x:c>
      <x:c r="H305" s="2" t="n">
        <x:f>'Daily inputs'!H305</x:f>
        <x:v>79</x:v>
      </x:c>
      <x:c r="I305" s="2" t="n">
        <x:f>'Daily inputs'!I305</x:f>
        <x:v>0</x:v>
      </x:c>
      <x:c r="J305" s="2" t="n">
        <x:f>'Daily inputs'!J305</x:f>
        <x:v>0</x:v>
      </x:c>
      <x:c r="K305" s="2" t="n">
        <x:f>'Daily inputs'!K305</x:f>
        <x:v>0</x:v>
      </x:c>
      <x:c r="L305" s="2" t="n">
        <x:f>MIN(F305,G305+H305-I305)</x:f>
        <x:v>55</x:v>
      </x:c>
      <x:c r="M305" s="2" t="n">
        <x:f>G305+H305-L305-I305</x:f>
        <x:v>33</x:v>
      </x:c>
      <x:c r="N305" s="2" t="n">
        <x:f>F305-L305</x:f>
        <x:v>0</x:v>
      </x:c>
      <x:c r="O305" s="2" t="n">
        <x:f>N305-J305</x:f>
        <x:v>0</x:v>
      </x:c>
      <x:c r="P305" s="2" t="n">
        <x:f>L305+I305</x:f>
        <x:v>55</x:v>
      </x:c>
      <x:c r="Q305" s="8" t="n">
        <x:f>P305*E305</x:f>
        <x:v>495</x:v>
      </x:c>
      <x:c r="R305" s="8" t="n">
        <x:f>I305*E305</x:f>
        <x:v>0</x:v>
      </x:c>
      <x:c r="S305" s="8" t="n">
        <x:f>O305*E305</x:f>
        <x:v>0</x:v>
      </x:c>
      <x:c r="T305" s="2" t="n">
        <x:f>IF(A305&lt;DATE(2025,12,1),"",IF(D305="Closed",0,ROUND(AVERAGEIFS('Daily inputs'!$F$2:$F$367,'Daily inputs'!$B$2:$B$367,B305,'Daily inputs'!$C$2:$C$367,C305,'Daily inputs'!$D$2:$D$367,"Training"),0)))</x:f>
        <x:v>44</x:v>
      </x:c>
      <x:c r="U305" s="2" t="n">
        <x:f>IF(A305&lt;DATE(2025,12,1),"",ROUND(T305*IF(D305="Christmas",Notes!$B$9,Notes!$B$8),0))</x:f>
        <x:v>53</x:v>
      </x:c>
      <x:c r="V305" s="2" t="n">
        <x:f>IF(A305&lt;DATE(2025,12,1),"",ABS(T305-F305))</x:f>
        <x:v>11</x:v>
      </x:c>
      <x:c r="W305" s="2" t="n">
        <x:f>IF(A305&lt;DATE(2025,12,1),"",ABS(U305-F305))</x:f>
        <x:v>2</x:v>
      </x:c>
      <x:c r="X305" s="2" t="n">
        <x:f>IF(A305&lt;DATE(2025,12,1),"",T305-F305)</x:f>
        <x:v>-11</x:v>
      </x:c>
      <x:c r="Y305" s="2" t="n">
        <x:f>IF(A305&lt;DATE(2025,12,1),"",U305-F305)</x:f>
        <x:v>-2</x:v>
      </x:c>
      <x:c r="Z305" s="2" t="n">
        <x:f>IF(N305&gt;0,1,0)</x:f>
        <x:v>0</x:v>
      </x:c>
    </x:row>
    <x:row r="306" ht="21" customHeight="1">
      <x:c r="A306" s="6" t="n">
        <x:f>'Daily inputs'!A306</x:f>
        <x:v>46012</x:v>
      </x:c>
      <x:c r="B306" s="2" t="str">
        <x:f>'Daily inputs'!B306</x:f>
        <x:v>I05</x:v>
      </x:c>
      <x:c r="C306" s="2" t="n">
        <x:f>'Daily inputs'!C306</x:f>
        <x:v>7</x:v>
      </x:c>
      <x:c r="D306" s="2" t="str">
        <x:f>'Daily inputs'!D306</x:f>
        <x:v>Christmas</x:v>
      </x:c>
      <x:c r="E306" s="7" t="n">
        <x:f>'Daily inputs'!E306</x:f>
        <x:v>3.5</x:v>
      </x:c>
      <x:c r="F306" s="2" t="n">
        <x:f>'Daily inputs'!F306</x:f>
        <x:v>113</x:v>
      </x:c>
      <x:c r="G306" s="2" t="n">
        <x:f>'Daily inputs'!G306</x:f>
        <x:v>20</x:v>
      </x:c>
      <x:c r="H306" s="2" t="n">
        <x:f>'Daily inputs'!H306</x:f>
        <x:v>110</x:v>
      </x:c>
      <x:c r="I306" s="2" t="n">
        <x:f>'Daily inputs'!I306</x:f>
        <x:v>0</x:v>
      </x:c>
      <x:c r="J306" s="2" t="n">
        <x:f>'Daily inputs'!J306</x:f>
        <x:v>0</x:v>
      </x:c>
      <x:c r="K306" s="2" t="n">
        <x:f>'Daily inputs'!K306</x:f>
        <x:v>0</x:v>
      </x:c>
      <x:c r="L306" s="2" t="n">
        <x:f>MIN(F306,G306+H306-I306)</x:f>
        <x:v>113</x:v>
      </x:c>
      <x:c r="M306" s="2" t="n">
        <x:f>G306+H306-L306-I306</x:f>
        <x:v>17</x:v>
      </x:c>
      <x:c r="N306" s="2" t="n">
        <x:f>F306-L306</x:f>
        <x:v>0</x:v>
      </x:c>
      <x:c r="O306" s="2" t="n">
        <x:f>N306-J306</x:f>
        <x:v>0</x:v>
      </x:c>
      <x:c r="P306" s="2" t="n">
        <x:f>L306+I306</x:f>
        <x:v>113</x:v>
      </x:c>
      <x:c r="Q306" s="8" t="n">
        <x:f>P306*E306</x:f>
        <x:v>395.5</x:v>
      </x:c>
      <x:c r="R306" s="8" t="n">
        <x:f>I306*E306</x:f>
        <x:v>0</x:v>
      </x:c>
      <x:c r="S306" s="8" t="n">
        <x:f>O306*E306</x:f>
        <x:v>0</x:v>
      </x:c>
      <x:c r="T306" s="2" t="n">
        <x:f>IF(A306&lt;DATE(2025,12,1),"",IF(D306="Closed",0,ROUND(AVERAGEIFS('Daily inputs'!$F$2:$F$367,'Daily inputs'!$B$2:$B$367,B306,'Daily inputs'!$C$2:$C$367,C306,'Daily inputs'!$D$2:$D$367,"Training"),0)))</x:f>
        <x:v>89</x:v>
      </x:c>
      <x:c r="U306" s="2" t="n">
        <x:f>IF(A306&lt;DATE(2025,12,1),"",ROUND(T306*IF(D306="Christmas",Notes!$B$9,Notes!$B$8),0))</x:f>
        <x:v>107</x:v>
      </x:c>
      <x:c r="V306" s="2" t="n">
        <x:f>IF(A306&lt;DATE(2025,12,1),"",ABS(T306-F306))</x:f>
        <x:v>24</x:v>
      </x:c>
      <x:c r="W306" s="2" t="n">
        <x:f>IF(A306&lt;DATE(2025,12,1),"",ABS(U306-F306))</x:f>
        <x:v>6</x:v>
      </x:c>
      <x:c r="X306" s="2" t="n">
        <x:f>IF(A306&lt;DATE(2025,12,1),"",T306-F306)</x:f>
        <x:v>-24</x:v>
      </x:c>
      <x:c r="Y306" s="2" t="n">
        <x:f>IF(A306&lt;DATE(2025,12,1),"",U306-F306)</x:f>
        <x:v>-6</x:v>
      </x:c>
      <x:c r="Z306" s="2" t="n">
        <x:f>IF(N306&gt;0,1,0)</x:f>
        <x:v>0</x:v>
      </x:c>
    </x:row>
    <x:row r="307" ht="21" customHeight="1">
      <x:c r="A307" s="6" t="n">
        <x:f>'Daily inputs'!A307</x:f>
        <x:v>46012</x:v>
      </x:c>
      <x:c r="B307" s="2" t="str">
        <x:f>'Daily inputs'!B307</x:f>
        <x:v>I06</x:v>
      </x:c>
      <x:c r="C307" s="2" t="n">
        <x:f>'Daily inputs'!C307</x:f>
        <x:v>7</x:v>
      </x:c>
      <x:c r="D307" s="2" t="str">
        <x:f>'Daily inputs'!D307</x:f>
        <x:v>Christmas</x:v>
      </x:c>
      <x:c r="E307" s="7" t="n">
        <x:f>'Daily inputs'!E307</x:f>
        <x:v>3</x:v>
      </x:c>
      <x:c r="F307" s="2" t="n">
        <x:f>'Daily inputs'!F307</x:f>
        <x:v>40</x:v>
      </x:c>
      <x:c r="G307" s="2" t="n">
        <x:f>'Daily inputs'!G307</x:f>
        <x:v>8</x:v>
      </x:c>
      <x:c r="H307" s="2" t="n">
        <x:f>'Daily inputs'!H307</x:f>
        <x:v>38</x:v>
      </x:c>
      <x:c r="I307" s="2" t="n">
        <x:f>'Daily inputs'!I307</x:f>
        <x:v>0</x:v>
      </x:c>
      <x:c r="J307" s="2" t="n">
        <x:f>'Daily inputs'!J307</x:f>
        <x:v>0</x:v>
      </x:c>
      <x:c r="K307" s="2" t="n">
        <x:f>'Daily inputs'!K307</x:f>
        <x:v>0</x:v>
      </x:c>
      <x:c r="L307" s="2" t="n">
        <x:f>MIN(F307,G307+H307-I307)</x:f>
        <x:v>40</x:v>
      </x:c>
      <x:c r="M307" s="2" t="n">
        <x:f>G307+H307-L307-I307</x:f>
        <x:v>6</x:v>
      </x:c>
      <x:c r="N307" s="2" t="n">
        <x:f>F307-L307</x:f>
        <x:v>0</x:v>
      </x:c>
      <x:c r="O307" s="2" t="n">
        <x:f>N307-J307</x:f>
        <x:v>0</x:v>
      </x:c>
      <x:c r="P307" s="2" t="n">
        <x:f>L307+I307</x:f>
        <x:v>40</x:v>
      </x:c>
      <x:c r="Q307" s="8" t="n">
        <x:f>P307*E307</x:f>
        <x:v>120</x:v>
      </x:c>
      <x:c r="R307" s="8" t="n">
        <x:f>I307*E307</x:f>
        <x:v>0</x:v>
      </x:c>
      <x:c r="S307" s="8" t="n">
        <x:f>O307*E307</x:f>
        <x:v>0</x:v>
      </x:c>
      <x:c r="T307" s="2" t="n">
        <x:f>IF(A307&lt;DATE(2025,12,1),"",IF(D307="Closed",0,ROUND(AVERAGEIFS('Daily inputs'!$F$2:$F$367,'Daily inputs'!$B$2:$B$367,B307,'Daily inputs'!$C$2:$C$367,C307,'Daily inputs'!$D$2:$D$367,"Training"),0)))</x:f>
        <x:v>34</x:v>
      </x:c>
      <x:c r="U307" s="2" t="n">
        <x:f>IF(A307&lt;DATE(2025,12,1),"",ROUND(T307*IF(D307="Christmas",Notes!$B$9,Notes!$B$8),0))</x:f>
        <x:v>41</x:v>
      </x:c>
      <x:c r="V307" s="2" t="n">
        <x:f>IF(A307&lt;DATE(2025,12,1),"",ABS(T307-F307))</x:f>
        <x:v>6</x:v>
      </x:c>
      <x:c r="W307" s="2" t="n">
        <x:f>IF(A307&lt;DATE(2025,12,1),"",ABS(U307-F307))</x:f>
        <x:v>1</x:v>
      </x:c>
      <x:c r="X307" s="2" t="n">
        <x:f>IF(A307&lt;DATE(2025,12,1),"",T307-F307)</x:f>
        <x:v>-6</x:v>
      </x:c>
      <x:c r="Y307" s="2" t="n">
        <x:f>IF(A307&lt;DATE(2025,12,1),"",U307-F307)</x:f>
        <x:v>1</x:v>
      </x:c>
      <x:c r="Z307" s="2" t="n">
        <x:f>IF(N307&gt;0,1,0)</x:f>
        <x:v>0</x:v>
      </x:c>
    </x:row>
    <x:row r="308" ht="21" customHeight="1">
      <x:c r="A308" s="6" t="n">
        <x:f>'Daily inputs'!A308</x:f>
        <x:v>46013</x:v>
      </x:c>
      <x:c r="B308" s="2" t="str">
        <x:f>'Daily inputs'!B308</x:f>
        <x:v>I01</x:v>
      </x:c>
      <x:c r="C308" s="2" t="n">
        <x:f>'Daily inputs'!C308</x:f>
        <x:v>1</x:v>
      </x:c>
      <x:c r="D308" s="2" t="str">
        <x:f>'Daily inputs'!D308</x:f>
        <x:v>Christmas</x:v>
      </x:c>
      <x:c r="E308" s="7" t="n">
        <x:f>'Daily inputs'!E308</x:f>
        <x:v>8.5</x:v>
      </x:c>
      <x:c r="F308" s="2" t="n">
        <x:f>'Daily inputs'!F308</x:f>
        <x:v>84</x:v>
      </x:c>
      <x:c r="G308" s="2" t="n">
        <x:f>'Daily inputs'!G308</x:f>
        <x:v>0</x:v>
      </x:c>
      <x:c r="H308" s="2" t="n">
        <x:f>'Daily inputs'!H308</x:f>
        <x:v>55</x:v>
      </x:c>
      <x:c r="I308" s="2" t="n">
        <x:f>'Daily inputs'!I308</x:f>
        <x:v>0</x:v>
      </x:c>
      <x:c r="J308" s="2" t="n">
        <x:f>'Daily inputs'!J308</x:f>
        <x:v>19</x:v>
      </x:c>
      <x:c r="K308" s="2" t="n">
        <x:f>'Daily inputs'!K308</x:f>
        <x:v>3.5</x:v>
      </x:c>
      <x:c r="L308" s="2" t="n">
        <x:f>MIN(F308,G308+H308-I308)</x:f>
        <x:v>55</x:v>
      </x:c>
      <x:c r="M308" s="2" t="n">
        <x:f>G308+H308-L308-I308</x:f>
        <x:v>0</x:v>
      </x:c>
      <x:c r="N308" s="2" t="n">
        <x:f>F308-L308</x:f>
        <x:v>29</x:v>
      </x:c>
      <x:c r="O308" s="2" t="n">
        <x:f>N308-J308</x:f>
        <x:v>10</x:v>
      </x:c>
      <x:c r="P308" s="2" t="n">
        <x:f>L308+I308</x:f>
        <x:v>55</x:v>
      </x:c>
      <x:c r="Q308" s="8" t="n">
        <x:f>P308*E308</x:f>
        <x:v>467.5</x:v>
      </x:c>
      <x:c r="R308" s="8" t="n">
        <x:f>I308*E308</x:f>
        <x:v>0</x:v>
      </x:c>
      <x:c r="S308" s="8" t="n">
        <x:f>O308*E308</x:f>
        <x:v>85</x:v>
      </x:c>
      <x:c r="T308" s="2" t="n">
        <x:f>IF(A308&lt;DATE(2025,12,1),"",IF(D308="Closed",0,ROUND(AVERAGEIFS('Daily inputs'!$F$2:$F$367,'Daily inputs'!$B$2:$B$367,B308,'Daily inputs'!$C$2:$C$367,C308,'Daily inputs'!$D$2:$D$367,"Training"),0)))</x:f>
        <x:v>60</x:v>
      </x:c>
      <x:c r="U308" s="2" t="n">
        <x:f>IF(A308&lt;DATE(2025,12,1),"",ROUND(T308*IF(D308="Christmas",Notes!$B$9,Notes!$B$8),0))</x:f>
        <x:v>72</x:v>
      </x:c>
      <x:c r="V308" s="2" t="n">
        <x:f>IF(A308&lt;DATE(2025,12,1),"",ABS(T308-F308))</x:f>
        <x:v>24</x:v>
      </x:c>
      <x:c r="W308" s="2" t="n">
        <x:f>IF(A308&lt;DATE(2025,12,1),"",ABS(U308-F308))</x:f>
        <x:v>12</x:v>
      </x:c>
      <x:c r="X308" s="2" t="n">
        <x:f>IF(A308&lt;DATE(2025,12,1),"",T308-F308)</x:f>
        <x:v>-24</x:v>
      </x:c>
      <x:c r="Y308" s="2" t="n">
        <x:f>IF(A308&lt;DATE(2025,12,1),"",U308-F308)</x:f>
        <x:v>-12</x:v>
      </x:c>
      <x:c r="Z308" s="2" t="n">
        <x:f>IF(N308&gt;0,1,0)</x:f>
        <x:v>1</x:v>
      </x:c>
    </x:row>
    <x:row r="309" ht="21" customHeight="1">
      <x:c r="A309" s="6" t="n">
        <x:f>'Daily inputs'!A309</x:f>
        <x:v>46013</x:v>
      </x:c>
      <x:c r="B309" s="2" t="str">
        <x:f>'Daily inputs'!B309</x:f>
        <x:v>I02</x:v>
      </x:c>
      <x:c r="C309" s="2" t="n">
        <x:f>'Daily inputs'!C309</x:f>
        <x:v>1</x:v>
      </x:c>
      <x:c r="D309" s="2" t="str">
        <x:f>'Daily inputs'!D309</x:f>
        <x:v>Christmas</x:v>
      </x:c>
      <x:c r="E309" s="7" t="n">
        <x:f>'Daily inputs'!E309</x:f>
        <x:v>8</x:v>
      </x:c>
      <x:c r="F309" s="2" t="n">
        <x:f>'Daily inputs'!F309</x:f>
        <x:v>69</x:v>
      </x:c>
      <x:c r="G309" s="2" t="n">
        <x:f>'Daily inputs'!G309</x:f>
        <x:v>0</x:v>
      </x:c>
      <x:c r="H309" s="2" t="n">
        <x:f>'Daily inputs'!H309</x:f>
        <x:v>45</x:v>
      </x:c>
      <x:c r="I309" s="2" t="n">
        <x:f>'Daily inputs'!I309</x:f>
        <x:v>0</x:v>
      </x:c>
      <x:c r="J309" s="2" t="n">
        <x:f>'Daily inputs'!J309</x:f>
        <x:v>16</x:v>
      </x:c>
      <x:c r="K309" s="2" t="n">
        <x:f>'Daily inputs'!K309</x:f>
        <x:v>3.5</x:v>
      </x:c>
      <x:c r="L309" s="2" t="n">
        <x:f>MIN(F309,G309+H309-I309)</x:f>
        <x:v>45</x:v>
      </x:c>
      <x:c r="M309" s="2" t="n">
        <x:f>G309+H309-L309-I309</x:f>
        <x:v>0</x:v>
      </x:c>
      <x:c r="N309" s="2" t="n">
        <x:f>F309-L309</x:f>
        <x:v>24</x:v>
      </x:c>
      <x:c r="O309" s="2" t="n">
        <x:f>N309-J309</x:f>
        <x:v>8</x:v>
      </x:c>
      <x:c r="P309" s="2" t="n">
        <x:f>L309+I309</x:f>
        <x:v>45</x:v>
      </x:c>
      <x:c r="Q309" s="8" t="n">
        <x:f>P309*E309</x:f>
        <x:v>360</x:v>
      </x:c>
      <x:c r="R309" s="8" t="n">
        <x:f>I309*E309</x:f>
        <x:v>0</x:v>
      </x:c>
      <x:c r="S309" s="8" t="n">
        <x:f>O309*E309</x:f>
        <x:v>64</x:v>
      </x:c>
      <x:c r="T309" s="2" t="n">
        <x:f>IF(A309&lt;DATE(2025,12,1),"",IF(D309="Closed",0,ROUND(AVERAGEIFS('Daily inputs'!$F$2:$F$367,'Daily inputs'!$B$2:$B$367,B309,'Daily inputs'!$C$2:$C$367,C309,'Daily inputs'!$D$2:$D$367,"Training"),0)))</x:f>
        <x:v>50</x:v>
      </x:c>
      <x:c r="U309" s="2" t="n">
        <x:f>IF(A309&lt;DATE(2025,12,1),"",ROUND(T309*IF(D309="Christmas",Notes!$B$9,Notes!$B$8),0))</x:f>
        <x:v>60</x:v>
      </x:c>
      <x:c r="V309" s="2" t="n">
        <x:f>IF(A309&lt;DATE(2025,12,1),"",ABS(T309-F309))</x:f>
        <x:v>19</x:v>
      </x:c>
      <x:c r="W309" s="2" t="n">
        <x:f>IF(A309&lt;DATE(2025,12,1),"",ABS(U309-F309))</x:f>
        <x:v>9</x:v>
      </x:c>
      <x:c r="X309" s="2" t="n">
        <x:f>IF(A309&lt;DATE(2025,12,1),"",T309-F309)</x:f>
        <x:v>-19</x:v>
      </x:c>
      <x:c r="Y309" s="2" t="n">
        <x:f>IF(A309&lt;DATE(2025,12,1),"",U309-F309)</x:f>
        <x:v>-9</x:v>
      </x:c>
      <x:c r="Z309" s="2" t="n">
        <x:f>IF(N309&gt;0,1,0)</x:f>
        <x:v>1</x:v>
      </x:c>
    </x:row>
    <x:row r="310" ht="21" customHeight="1">
      <x:c r="A310" s="6" t="n">
        <x:f>'Daily inputs'!A310</x:f>
        <x:v>46013</x:v>
      </x:c>
      <x:c r="B310" s="2" t="str">
        <x:f>'Daily inputs'!B310</x:f>
        <x:v>I03</x:v>
      </x:c>
      <x:c r="C310" s="2" t="n">
        <x:f>'Daily inputs'!C310</x:f>
        <x:v>1</x:v>
      </x:c>
      <x:c r="D310" s="2" t="str">
        <x:f>'Daily inputs'!D310</x:f>
        <x:v>Christmas</x:v>
      </x:c>
      <x:c r="E310" s="7" t="n">
        <x:f>'Daily inputs'!E310</x:f>
        <x:v>7.5</x:v>
      </x:c>
      <x:c r="F310" s="2" t="n">
        <x:f>'Daily inputs'!F310</x:f>
        <x:v>34</x:v>
      </x:c>
      <x:c r="G310" s="2" t="n">
        <x:f>'Daily inputs'!G310</x:f>
        <x:v>6</x:v>
      </x:c>
      <x:c r="H310" s="2" t="n">
        <x:f>'Daily inputs'!H310</x:f>
        <x:v>58</x:v>
      </x:c>
      <x:c r="I310" s="2" t="n">
        <x:f>'Daily inputs'!I310</x:f>
        <x:v>30</x:v>
      </x:c>
      <x:c r="J310" s="2" t="n">
        <x:f>'Daily inputs'!J310</x:f>
        <x:v>0</x:v>
      </x:c>
      <x:c r="K310" s="2" t="n">
        <x:f>'Daily inputs'!K310</x:f>
        <x:v>0</x:v>
      </x:c>
      <x:c r="L310" s="2" t="n">
        <x:f>MIN(F310,G310+H310-I310)</x:f>
        <x:v>34</x:v>
      </x:c>
      <x:c r="M310" s="2" t="n">
        <x:f>G310+H310-L310-I310</x:f>
        <x:v>0</x:v>
      </x:c>
      <x:c r="N310" s="2" t="n">
        <x:f>F310-L310</x:f>
        <x:v>0</x:v>
      </x:c>
      <x:c r="O310" s="2" t="n">
        <x:f>N310-J310</x:f>
        <x:v>0</x:v>
      </x:c>
      <x:c r="P310" s="2" t="n">
        <x:f>L310+I310</x:f>
        <x:v>64</x:v>
      </x:c>
      <x:c r="Q310" s="8" t="n">
        <x:f>P310*E310</x:f>
        <x:v>480</x:v>
      </x:c>
      <x:c r="R310" s="8" t="n">
        <x:f>I310*E310</x:f>
        <x:v>225</x:v>
      </x:c>
      <x:c r="S310" s="8" t="n">
        <x:f>O310*E310</x:f>
        <x:v>0</x:v>
      </x:c>
      <x:c r="T310" s="2" t="n">
        <x:f>IF(A310&lt;DATE(2025,12,1),"",IF(D310="Closed",0,ROUND(AVERAGEIFS('Daily inputs'!$F$2:$F$367,'Daily inputs'!$B$2:$B$367,B310,'Daily inputs'!$C$2:$C$367,C310,'Daily inputs'!$D$2:$D$367,"Training"),0)))</x:f>
        <x:v>29</x:v>
      </x:c>
      <x:c r="U310" s="2" t="n">
        <x:f>IF(A310&lt;DATE(2025,12,1),"",ROUND(T310*IF(D310="Christmas",Notes!$B$9,Notes!$B$8),0))</x:f>
        <x:v>35</x:v>
      </x:c>
      <x:c r="V310" s="2" t="n">
        <x:f>IF(A310&lt;DATE(2025,12,1),"",ABS(T310-F310))</x:f>
        <x:v>5</x:v>
      </x:c>
      <x:c r="W310" s="2" t="n">
        <x:f>IF(A310&lt;DATE(2025,12,1),"",ABS(U310-F310))</x:f>
        <x:v>1</x:v>
      </x:c>
      <x:c r="X310" s="2" t="n">
        <x:f>IF(A310&lt;DATE(2025,12,1),"",T310-F310)</x:f>
        <x:v>-5</x:v>
      </x:c>
      <x:c r="Y310" s="2" t="n">
        <x:f>IF(A310&lt;DATE(2025,12,1),"",U310-F310)</x:f>
        <x:v>1</x:v>
      </x:c>
      <x:c r="Z310" s="2" t="n">
        <x:f>IF(N310&gt;0,1,0)</x:f>
        <x:v>0</x:v>
      </x:c>
    </x:row>
    <x:row r="311" ht="21" customHeight="1">
      <x:c r="A311" s="6" t="n">
        <x:f>'Daily inputs'!A311</x:f>
        <x:v>46013</x:v>
      </x:c>
      <x:c r="B311" s="2" t="str">
        <x:f>'Daily inputs'!B311</x:f>
        <x:v>I04</x:v>
      </x:c>
      <x:c r="C311" s="2" t="n">
        <x:f>'Daily inputs'!C311</x:f>
        <x:v>1</x:v>
      </x:c>
      <x:c r="D311" s="2" t="str">
        <x:f>'Daily inputs'!D311</x:f>
        <x:v>Christmas</x:v>
      </x:c>
      <x:c r="E311" s="7" t="n">
        <x:f>'Daily inputs'!E311</x:f>
        <x:v>9</x:v>
      </x:c>
      <x:c r="F311" s="2" t="n">
        <x:f>'Daily inputs'!F311</x:f>
        <x:v>43</x:v>
      </x:c>
      <x:c r="G311" s="2" t="n">
        <x:f>'Daily inputs'!G311</x:f>
        <x:v>33</x:v>
      </x:c>
      <x:c r="H311" s="2" t="n">
        <x:f>'Daily inputs'!H311</x:f>
        <x:v>41</x:v>
      </x:c>
      <x:c r="I311" s="2" t="n">
        <x:f>'Daily inputs'!I311</x:f>
        <x:v>5</x:v>
      </x:c>
      <x:c r="J311" s="2" t="n">
        <x:f>'Daily inputs'!J311</x:f>
        <x:v>0</x:v>
      </x:c>
      <x:c r="K311" s="2" t="n">
        <x:f>'Daily inputs'!K311</x:f>
        <x:v>0</x:v>
      </x:c>
      <x:c r="L311" s="2" t="n">
        <x:f>MIN(F311,G311+H311-I311)</x:f>
        <x:v>43</x:v>
      </x:c>
      <x:c r="M311" s="2" t="n">
        <x:f>G311+H311-L311-I311</x:f>
        <x:v>26</x:v>
      </x:c>
      <x:c r="N311" s="2" t="n">
        <x:f>F311-L311</x:f>
        <x:v>0</x:v>
      </x:c>
      <x:c r="O311" s="2" t="n">
        <x:f>N311-J311</x:f>
        <x:v>0</x:v>
      </x:c>
      <x:c r="P311" s="2" t="n">
        <x:f>L311+I311</x:f>
        <x:v>48</x:v>
      </x:c>
      <x:c r="Q311" s="8" t="n">
        <x:f>P311*E311</x:f>
        <x:v>432</x:v>
      </x:c>
      <x:c r="R311" s="8" t="n">
        <x:f>I311*E311</x:f>
        <x:v>45</x:v>
      </x:c>
      <x:c r="S311" s="8" t="n">
        <x:f>O311*E311</x:f>
        <x:v>0</x:v>
      </x:c>
      <x:c r="T311" s="2" t="n">
        <x:f>IF(A311&lt;DATE(2025,12,1),"",IF(D311="Closed",0,ROUND(AVERAGEIFS('Daily inputs'!$F$2:$F$367,'Daily inputs'!$B$2:$B$367,B311,'Daily inputs'!$C$2:$C$367,C311,'Daily inputs'!$D$2:$D$367,"Training"),0)))</x:f>
        <x:v>33</x:v>
      </x:c>
      <x:c r="U311" s="2" t="n">
        <x:f>IF(A311&lt;DATE(2025,12,1),"",ROUND(T311*IF(D311="Christmas",Notes!$B$9,Notes!$B$8),0))</x:f>
        <x:v>40</x:v>
      </x:c>
      <x:c r="V311" s="2" t="n">
        <x:f>IF(A311&lt;DATE(2025,12,1),"",ABS(T311-F311))</x:f>
        <x:v>10</x:v>
      </x:c>
      <x:c r="W311" s="2" t="n">
        <x:f>IF(A311&lt;DATE(2025,12,1),"",ABS(U311-F311))</x:f>
        <x:v>3</x:v>
      </x:c>
      <x:c r="X311" s="2" t="n">
        <x:f>IF(A311&lt;DATE(2025,12,1),"",T311-F311)</x:f>
        <x:v>-10</x:v>
      </x:c>
      <x:c r="Y311" s="2" t="n">
        <x:f>IF(A311&lt;DATE(2025,12,1),"",U311-F311)</x:f>
        <x:v>-3</x:v>
      </x:c>
      <x:c r="Z311" s="2" t="n">
        <x:f>IF(N311&gt;0,1,0)</x:f>
        <x:v>0</x:v>
      </x:c>
    </x:row>
    <x:row r="312" ht="21" customHeight="1">
      <x:c r="A312" s="6" t="n">
        <x:f>'Daily inputs'!A312</x:f>
        <x:v>46013</x:v>
      </x:c>
      <x:c r="B312" s="2" t="str">
        <x:f>'Daily inputs'!B312</x:f>
        <x:v>I05</x:v>
      </x:c>
      <x:c r="C312" s="2" t="n">
        <x:f>'Daily inputs'!C312</x:f>
        <x:v>1</x:v>
      </x:c>
      <x:c r="D312" s="2" t="str">
        <x:f>'Daily inputs'!D312</x:f>
        <x:v>Christmas</x:v>
      </x:c>
      <x:c r="E312" s="7" t="n">
        <x:f>'Daily inputs'!E312</x:f>
        <x:v>3.5</x:v>
      </x:c>
      <x:c r="F312" s="2" t="n">
        <x:f>'Daily inputs'!F312</x:f>
        <x:v>90</x:v>
      </x:c>
      <x:c r="G312" s="2" t="n">
        <x:f>'Daily inputs'!G312</x:f>
        <x:v>17</x:v>
      </x:c>
      <x:c r="H312" s="2" t="n">
        <x:f>'Daily inputs'!H312</x:f>
        <x:v>86</x:v>
      </x:c>
      <x:c r="I312" s="2" t="n">
        <x:f>'Daily inputs'!I312</x:f>
        <x:v>0</x:v>
      </x:c>
      <x:c r="J312" s="2" t="n">
        <x:f>'Daily inputs'!J312</x:f>
        <x:v>0</x:v>
      </x:c>
      <x:c r="K312" s="2" t="n">
        <x:f>'Daily inputs'!K312</x:f>
        <x:v>0</x:v>
      </x:c>
      <x:c r="L312" s="2" t="n">
        <x:f>MIN(F312,G312+H312-I312)</x:f>
        <x:v>90</x:v>
      </x:c>
      <x:c r="M312" s="2" t="n">
        <x:f>G312+H312-L312-I312</x:f>
        <x:v>13</x:v>
      </x:c>
      <x:c r="N312" s="2" t="n">
        <x:f>F312-L312</x:f>
        <x:v>0</x:v>
      </x:c>
      <x:c r="O312" s="2" t="n">
        <x:f>N312-J312</x:f>
        <x:v>0</x:v>
      </x:c>
      <x:c r="P312" s="2" t="n">
        <x:f>L312+I312</x:f>
        <x:v>90</x:v>
      </x:c>
      <x:c r="Q312" s="8" t="n">
        <x:f>P312*E312</x:f>
        <x:v>315</x:v>
      </x:c>
      <x:c r="R312" s="8" t="n">
        <x:f>I312*E312</x:f>
        <x:v>0</x:v>
      </x:c>
      <x:c r="S312" s="8" t="n">
        <x:f>O312*E312</x:f>
        <x:v>0</x:v>
      </x:c>
      <x:c r="T312" s="2" t="n">
        <x:f>IF(A312&lt;DATE(2025,12,1),"",IF(D312="Closed",0,ROUND(AVERAGEIFS('Daily inputs'!$F$2:$F$367,'Daily inputs'!$B$2:$B$367,B312,'Daily inputs'!$C$2:$C$367,C312,'Daily inputs'!$D$2:$D$367,"Training"),0)))</x:f>
        <x:v>69</x:v>
      </x:c>
      <x:c r="U312" s="2" t="n">
        <x:f>IF(A312&lt;DATE(2025,12,1),"",ROUND(T312*IF(D312="Christmas",Notes!$B$9,Notes!$B$8),0))</x:f>
        <x:v>83</x:v>
      </x:c>
      <x:c r="V312" s="2" t="n">
        <x:f>IF(A312&lt;DATE(2025,12,1),"",ABS(T312-F312))</x:f>
        <x:v>21</x:v>
      </x:c>
      <x:c r="W312" s="2" t="n">
        <x:f>IF(A312&lt;DATE(2025,12,1),"",ABS(U312-F312))</x:f>
        <x:v>7</x:v>
      </x:c>
      <x:c r="X312" s="2" t="n">
        <x:f>IF(A312&lt;DATE(2025,12,1),"",T312-F312)</x:f>
        <x:v>-21</x:v>
      </x:c>
      <x:c r="Y312" s="2" t="n">
        <x:f>IF(A312&lt;DATE(2025,12,1),"",U312-F312)</x:f>
        <x:v>-7</x:v>
      </x:c>
      <x:c r="Z312" s="2" t="n">
        <x:f>IF(N312&gt;0,1,0)</x:f>
        <x:v>0</x:v>
      </x:c>
    </x:row>
    <x:row r="313" ht="21" customHeight="1">
      <x:c r="A313" s="6" t="n">
        <x:f>'Daily inputs'!A313</x:f>
        <x:v>46013</x:v>
      </x:c>
      <x:c r="B313" s="2" t="str">
        <x:f>'Daily inputs'!B313</x:f>
        <x:v>I06</x:v>
      </x:c>
      <x:c r="C313" s="2" t="n">
        <x:f>'Daily inputs'!C313</x:f>
        <x:v>1</x:v>
      </x:c>
      <x:c r="D313" s="2" t="str">
        <x:f>'Daily inputs'!D313</x:f>
        <x:v>Christmas</x:v>
      </x:c>
      <x:c r="E313" s="7" t="n">
        <x:f>'Daily inputs'!E313</x:f>
        <x:v>3</x:v>
      </x:c>
      <x:c r="F313" s="2" t="n">
        <x:f>'Daily inputs'!F313</x:f>
        <x:v>34</x:v>
      </x:c>
      <x:c r="G313" s="2" t="n">
        <x:f>'Daily inputs'!G313</x:f>
        <x:v>6</x:v>
      </x:c>
      <x:c r="H313" s="2" t="n">
        <x:f>'Daily inputs'!H313</x:f>
        <x:v>33</x:v>
      </x:c>
      <x:c r="I313" s="2" t="n">
        <x:f>'Daily inputs'!I313</x:f>
        <x:v>0</x:v>
      </x:c>
      <x:c r="J313" s="2" t="n">
        <x:f>'Daily inputs'!J313</x:f>
        <x:v>0</x:v>
      </x:c>
      <x:c r="K313" s="2" t="n">
        <x:f>'Daily inputs'!K313</x:f>
        <x:v>0</x:v>
      </x:c>
      <x:c r="L313" s="2" t="n">
        <x:f>MIN(F313,G313+H313-I313)</x:f>
        <x:v>34</x:v>
      </x:c>
      <x:c r="M313" s="2" t="n">
        <x:f>G313+H313-L313-I313</x:f>
        <x:v>5</x:v>
      </x:c>
      <x:c r="N313" s="2" t="n">
        <x:f>F313-L313</x:f>
        <x:v>0</x:v>
      </x:c>
      <x:c r="O313" s="2" t="n">
        <x:f>N313-J313</x:f>
        <x:v>0</x:v>
      </x:c>
      <x:c r="P313" s="2" t="n">
        <x:f>L313+I313</x:f>
        <x:v>34</x:v>
      </x:c>
      <x:c r="Q313" s="8" t="n">
        <x:f>P313*E313</x:f>
        <x:v>102</x:v>
      </x:c>
      <x:c r="R313" s="8" t="n">
        <x:f>I313*E313</x:f>
        <x:v>0</x:v>
      </x:c>
      <x:c r="S313" s="8" t="n">
        <x:f>O313*E313</x:f>
        <x:v>0</x:v>
      </x:c>
      <x:c r="T313" s="2" t="n">
        <x:f>IF(A313&lt;DATE(2025,12,1),"",IF(D313="Closed",0,ROUND(AVERAGEIFS('Daily inputs'!$F$2:$F$367,'Daily inputs'!$B$2:$B$367,B313,'Daily inputs'!$C$2:$C$367,C313,'Daily inputs'!$D$2:$D$367,"Training"),0)))</x:f>
        <x:v>26</x:v>
      </x:c>
      <x:c r="U313" s="2" t="n">
        <x:f>IF(A313&lt;DATE(2025,12,1),"",ROUND(T313*IF(D313="Christmas",Notes!$B$9,Notes!$B$8),0))</x:f>
        <x:v>31</x:v>
      </x:c>
      <x:c r="V313" s="2" t="n">
        <x:f>IF(A313&lt;DATE(2025,12,1),"",ABS(T313-F313))</x:f>
        <x:v>8</x:v>
      </x:c>
      <x:c r="W313" s="2" t="n">
        <x:f>IF(A313&lt;DATE(2025,12,1),"",ABS(U313-F313))</x:f>
        <x:v>3</x:v>
      </x:c>
      <x:c r="X313" s="2" t="n">
        <x:f>IF(A313&lt;DATE(2025,12,1),"",T313-F313)</x:f>
        <x:v>-8</x:v>
      </x:c>
      <x:c r="Y313" s="2" t="n">
        <x:f>IF(A313&lt;DATE(2025,12,1),"",U313-F313)</x:f>
        <x:v>-3</x:v>
      </x:c>
      <x:c r="Z313" s="2" t="n">
        <x:f>IF(N313&gt;0,1,0)</x:f>
        <x:v>0</x:v>
      </x:c>
    </x:row>
    <x:row r="314" ht="21" customHeight="1">
      <x:c r="A314" s="6" t="n">
        <x:f>'Daily inputs'!A314</x:f>
        <x:v>46014</x:v>
      </x:c>
      <x:c r="B314" s="2" t="str">
        <x:f>'Daily inputs'!B314</x:f>
        <x:v>I01</x:v>
      </x:c>
      <x:c r="C314" s="2" t="n">
        <x:f>'Daily inputs'!C314</x:f>
        <x:v>2</x:v>
      </x:c>
      <x:c r="D314" s="2" t="str">
        <x:f>'Daily inputs'!D314</x:f>
        <x:v>Christmas</x:v>
      </x:c>
      <x:c r="E314" s="7" t="n">
        <x:f>'Daily inputs'!E314</x:f>
        <x:v>8.5</x:v>
      </x:c>
      <x:c r="F314" s="2" t="n">
        <x:f>'Daily inputs'!F314</x:f>
        <x:v>89</x:v>
      </x:c>
      <x:c r="G314" s="2" t="n">
        <x:f>'Daily inputs'!G314</x:f>
        <x:v>0</x:v>
      </x:c>
      <x:c r="H314" s="2" t="n">
        <x:f>'Daily inputs'!H314</x:f>
        <x:v>58</x:v>
      </x:c>
      <x:c r="I314" s="2" t="n">
        <x:f>'Daily inputs'!I314</x:f>
        <x:v>0</x:v>
      </x:c>
      <x:c r="J314" s="2" t="n">
        <x:f>'Daily inputs'!J314</x:f>
        <x:v>20</x:v>
      </x:c>
      <x:c r="K314" s="2" t="n">
        <x:f>'Daily inputs'!K314</x:f>
        <x:v>3.5</x:v>
      </x:c>
      <x:c r="L314" s="2" t="n">
        <x:f>MIN(F314,G314+H314-I314)</x:f>
        <x:v>58</x:v>
      </x:c>
      <x:c r="M314" s="2" t="n">
        <x:f>G314+H314-L314-I314</x:f>
        <x:v>0</x:v>
      </x:c>
      <x:c r="N314" s="2" t="n">
        <x:f>F314-L314</x:f>
        <x:v>31</x:v>
      </x:c>
      <x:c r="O314" s="2" t="n">
        <x:f>N314-J314</x:f>
        <x:v>11</x:v>
      </x:c>
      <x:c r="P314" s="2" t="n">
        <x:f>L314+I314</x:f>
        <x:v>58</x:v>
      </x:c>
      <x:c r="Q314" s="8" t="n">
        <x:f>P314*E314</x:f>
        <x:v>493</x:v>
      </x:c>
      <x:c r="R314" s="8" t="n">
        <x:f>I314*E314</x:f>
        <x:v>0</x:v>
      </x:c>
      <x:c r="S314" s="8" t="n">
        <x:f>O314*E314</x:f>
        <x:v>93.5</x:v>
      </x:c>
      <x:c r="T314" s="2" t="n">
        <x:f>IF(A314&lt;DATE(2025,12,1),"",IF(D314="Closed",0,ROUND(AVERAGEIFS('Daily inputs'!$F$2:$F$367,'Daily inputs'!$B$2:$B$367,B314,'Daily inputs'!$C$2:$C$367,C314,'Daily inputs'!$D$2:$D$367,"Training"),0)))</x:f>
        <x:v>65</x:v>
      </x:c>
      <x:c r="U314" s="2" t="n">
        <x:f>IF(A314&lt;DATE(2025,12,1),"",ROUND(T314*IF(D314="Christmas",Notes!$B$9,Notes!$B$8),0))</x:f>
        <x:v>78</x:v>
      </x:c>
      <x:c r="V314" s="2" t="n">
        <x:f>IF(A314&lt;DATE(2025,12,1),"",ABS(T314-F314))</x:f>
        <x:v>24</x:v>
      </x:c>
      <x:c r="W314" s="2" t="n">
        <x:f>IF(A314&lt;DATE(2025,12,1),"",ABS(U314-F314))</x:f>
        <x:v>11</x:v>
      </x:c>
      <x:c r="X314" s="2" t="n">
        <x:f>IF(A314&lt;DATE(2025,12,1),"",T314-F314)</x:f>
        <x:v>-24</x:v>
      </x:c>
      <x:c r="Y314" s="2" t="n">
        <x:f>IF(A314&lt;DATE(2025,12,1),"",U314-F314)</x:f>
        <x:v>-11</x:v>
      </x:c>
      <x:c r="Z314" s="2" t="n">
        <x:f>IF(N314&gt;0,1,0)</x:f>
        <x:v>1</x:v>
      </x:c>
    </x:row>
    <x:row r="315" ht="21" customHeight="1">
      <x:c r="A315" s="6" t="n">
        <x:f>'Daily inputs'!A315</x:f>
        <x:v>46014</x:v>
      </x:c>
      <x:c r="B315" s="2" t="str">
        <x:f>'Daily inputs'!B315</x:f>
        <x:v>I02</x:v>
      </x:c>
      <x:c r="C315" s="2" t="n">
        <x:f>'Daily inputs'!C315</x:f>
        <x:v>2</x:v>
      </x:c>
      <x:c r="D315" s="2" t="str">
        <x:f>'Daily inputs'!D315</x:f>
        <x:v>Christmas</x:v>
      </x:c>
      <x:c r="E315" s="7" t="n">
        <x:f>'Daily inputs'!E315</x:f>
        <x:v>8</x:v>
      </x:c>
      <x:c r="F315" s="2" t="n">
        <x:f>'Daily inputs'!F315</x:f>
        <x:v>74</x:v>
      </x:c>
      <x:c r="G315" s="2" t="n">
        <x:f>'Daily inputs'!G315</x:f>
        <x:v>0</x:v>
      </x:c>
      <x:c r="H315" s="2" t="n">
        <x:f>'Daily inputs'!H315</x:f>
        <x:v>48</x:v>
      </x:c>
      <x:c r="I315" s="2" t="n">
        <x:f>'Daily inputs'!I315</x:f>
        <x:v>0</x:v>
      </x:c>
      <x:c r="J315" s="2" t="n">
        <x:f>'Daily inputs'!J315</x:f>
        <x:v>17</x:v>
      </x:c>
      <x:c r="K315" s="2" t="n">
        <x:f>'Daily inputs'!K315</x:f>
        <x:v>3.5</x:v>
      </x:c>
      <x:c r="L315" s="2" t="n">
        <x:f>MIN(F315,G315+H315-I315)</x:f>
        <x:v>48</x:v>
      </x:c>
      <x:c r="M315" s="2" t="n">
        <x:f>G315+H315-L315-I315</x:f>
        <x:v>0</x:v>
      </x:c>
      <x:c r="N315" s="2" t="n">
        <x:f>F315-L315</x:f>
        <x:v>26</x:v>
      </x:c>
      <x:c r="O315" s="2" t="n">
        <x:f>N315-J315</x:f>
        <x:v>9</x:v>
      </x:c>
      <x:c r="P315" s="2" t="n">
        <x:f>L315+I315</x:f>
        <x:v>48</x:v>
      </x:c>
      <x:c r="Q315" s="8" t="n">
        <x:f>P315*E315</x:f>
        <x:v>384</x:v>
      </x:c>
      <x:c r="R315" s="8" t="n">
        <x:f>I315*E315</x:f>
        <x:v>0</x:v>
      </x:c>
      <x:c r="S315" s="8" t="n">
        <x:f>O315*E315</x:f>
        <x:v>72</x:v>
      </x:c>
      <x:c r="T315" s="2" t="n">
        <x:f>IF(A315&lt;DATE(2025,12,1),"",IF(D315="Closed",0,ROUND(AVERAGEIFS('Daily inputs'!$F$2:$F$367,'Daily inputs'!$B$2:$B$367,B315,'Daily inputs'!$C$2:$C$367,C315,'Daily inputs'!$D$2:$D$367,"Training"),0)))</x:f>
        <x:v>53</x:v>
      </x:c>
      <x:c r="U315" s="2" t="n">
        <x:f>IF(A315&lt;DATE(2025,12,1),"",ROUND(T315*IF(D315="Christmas",Notes!$B$9,Notes!$B$8),0))</x:f>
        <x:v>64</x:v>
      </x:c>
      <x:c r="V315" s="2" t="n">
        <x:f>IF(A315&lt;DATE(2025,12,1),"",ABS(T315-F315))</x:f>
        <x:v>21</x:v>
      </x:c>
      <x:c r="W315" s="2" t="n">
        <x:f>IF(A315&lt;DATE(2025,12,1),"",ABS(U315-F315))</x:f>
        <x:v>10</x:v>
      </x:c>
      <x:c r="X315" s="2" t="n">
        <x:f>IF(A315&lt;DATE(2025,12,1),"",T315-F315)</x:f>
        <x:v>-21</x:v>
      </x:c>
      <x:c r="Y315" s="2" t="n">
        <x:f>IF(A315&lt;DATE(2025,12,1),"",U315-F315)</x:f>
        <x:v>-10</x:v>
      </x:c>
      <x:c r="Z315" s="2" t="n">
        <x:f>IF(N315&gt;0,1,0)</x:f>
        <x:v>1</x:v>
      </x:c>
    </x:row>
    <x:row r="316" ht="21" customHeight="1">
      <x:c r="A316" s="6" t="n">
        <x:f>'Daily inputs'!A316</x:f>
        <x:v>46014</x:v>
      </x:c>
      <x:c r="B316" s="2" t="str">
        <x:f>'Daily inputs'!B316</x:f>
        <x:v>I03</x:v>
      </x:c>
      <x:c r="C316" s="2" t="n">
        <x:f>'Daily inputs'!C316</x:f>
        <x:v>2</x:v>
      </x:c>
      <x:c r="D316" s="2" t="str">
        <x:f>'Daily inputs'!D316</x:f>
        <x:v>Christmas</x:v>
      </x:c>
      <x:c r="E316" s="7" t="n">
        <x:f>'Daily inputs'!E316</x:f>
        <x:v>7.5</x:v>
      </x:c>
      <x:c r="F316" s="2" t="n">
        <x:f>'Daily inputs'!F316</x:f>
        <x:v>35</x:v>
      </x:c>
      <x:c r="G316" s="2" t="n">
        <x:f>'Daily inputs'!G316</x:f>
        <x:v>0</x:v>
      </x:c>
      <x:c r="H316" s="2" t="n">
        <x:f>'Daily inputs'!H316</x:f>
        <x:v>65</x:v>
      </x:c>
      <x:c r="I316" s="2" t="n">
        <x:f>'Daily inputs'!I316</x:f>
        <x:v>30</x:v>
      </x:c>
      <x:c r="J316" s="2" t="n">
        <x:f>'Daily inputs'!J316</x:f>
        <x:v>0</x:v>
      </x:c>
      <x:c r="K316" s="2" t="n">
        <x:f>'Daily inputs'!K316</x:f>
        <x:v>0</x:v>
      </x:c>
      <x:c r="L316" s="2" t="n">
        <x:f>MIN(F316,G316+H316-I316)</x:f>
        <x:v>35</x:v>
      </x:c>
      <x:c r="M316" s="2" t="n">
        <x:f>G316+H316-L316-I316</x:f>
        <x:v>0</x:v>
      </x:c>
      <x:c r="N316" s="2" t="n">
        <x:f>F316-L316</x:f>
        <x:v>0</x:v>
      </x:c>
      <x:c r="O316" s="2" t="n">
        <x:f>N316-J316</x:f>
        <x:v>0</x:v>
      </x:c>
      <x:c r="P316" s="2" t="n">
        <x:f>L316+I316</x:f>
        <x:v>65</x:v>
      </x:c>
      <x:c r="Q316" s="8" t="n">
        <x:f>P316*E316</x:f>
        <x:v>487.5</x:v>
      </x:c>
      <x:c r="R316" s="8" t="n">
        <x:f>I316*E316</x:f>
        <x:v>225</x:v>
      </x:c>
      <x:c r="S316" s="8" t="n">
        <x:f>O316*E316</x:f>
        <x:v>0</x:v>
      </x:c>
      <x:c r="T316" s="2" t="n">
        <x:f>IF(A316&lt;DATE(2025,12,1),"",IF(D316="Closed",0,ROUND(AVERAGEIFS('Daily inputs'!$F$2:$F$367,'Daily inputs'!$B$2:$B$367,B316,'Daily inputs'!$C$2:$C$367,C316,'Daily inputs'!$D$2:$D$367,"Training"),0)))</x:f>
        <x:v>31</x:v>
      </x:c>
      <x:c r="U316" s="2" t="n">
        <x:f>IF(A316&lt;DATE(2025,12,1),"",ROUND(T316*IF(D316="Christmas",Notes!$B$9,Notes!$B$8),0))</x:f>
        <x:v>37</x:v>
      </x:c>
      <x:c r="V316" s="2" t="n">
        <x:f>IF(A316&lt;DATE(2025,12,1),"",ABS(T316-F316))</x:f>
        <x:v>4</x:v>
      </x:c>
      <x:c r="W316" s="2" t="n">
        <x:f>IF(A316&lt;DATE(2025,12,1),"",ABS(U316-F316))</x:f>
        <x:v>2</x:v>
      </x:c>
      <x:c r="X316" s="2" t="n">
        <x:f>IF(A316&lt;DATE(2025,12,1),"",T316-F316)</x:f>
        <x:v>-4</x:v>
      </x:c>
      <x:c r="Y316" s="2" t="n">
        <x:f>IF(A316&lt;DATE(2025,12,1),"",U316-F316)</x:f>
        <x:v>2</x:v>
      </x:c>
      <x:c r="Z316" s="2" t="n">
        <x:f>IF(N316&gt;0,1,0)</x:f>
        <x:v>0</x:v>
      </x:c>
    </x:row>
    <x:row r="317" ht="21" customHeight="1">
      <x:c r="A317" s="6" t="n">
        <x:f>'Daily inputs'!A317</x:f>
        <x:v>46014</x:v>
      </x:c>
      <x:c r="B317" s="2" t="str">
        <x:f>'Daily inputs'!B317</x:f>
        <x:v>I04</x:v>
      </x:c>
      <x:c r="C317" s="2" t="n">
        <x:f>'Daily inputs'!C317</x:f>
        <x:v>2</x:v>
      </x:c>
      <x:c r="D317" s="2" t="str">
        <x:f>'Daily inputs'!D317</x:f>
        <x:v>Christmas</x:v>
      </x:c>
      <x:c r="E317" s="7" t="n">
        <x:f>'Daily inputs'!E317</x:f>
        <x:v>9</x:v>
      </x:c>
      <x:c r="F317" s="2" t="n">
        <x:f>'Daily inputs'!F317</x:f>
        <x:v>43</x:v>
      </x:c>
      <x:c r="G317" s="2" t="n">
        <x:f>'Daily inputs'!G317</x:f>
        <x:v>26</x:v>
      </x:c>
      <x:c r="H317" s="2" t="n">
        <x:f>'Daily inputs'!H317</x:f>
        <x:v>48</x:v>
      </x:c>
      <x:c r="I317" s="2" t="n">
        <x:f>'Daily inputs'!I317</x:f>
        <x:v>7</x:v>
      </x:c>
      <x:c r="J317" s="2" t="n">
        <x:f>'Daily inputs'!J317</x:f>
        <x:v>0</x:v>
      </x:c>
      <x:c r="K317" s="2" t="n">
        <x:f>'Daily inputs'!K317</x:f>
        <x:v>0</x:v>
      </x:c>
      <x:c r="L317" s="2" t="n">
        <x:f>MIN(F317,G317+H317-I317)</x:f>
        <x:v>43</x:v>
      </x:c>
      <x:c r="M317" s="2" t="n">
        <x:f>G317+H317-L317-I317</x:f>
        <x:v>24</x:v>
      </x:c>
      <x:c r="N317" s="2" t="n">
        <x:f>F317-L317</x:f>
        <x:v>0</x:v>
      </x:c>
      <x:c r="O317" s="2" t="n">
        <x:f>N317-J317</x:f>
        <x:v>0</x:v>
      </x:c>
      <x:c r="P317" s="2" t="n">
        <x:f>L317+I317</x:f>
        <x:v>50</x:v>
      </x:c>
      <x:c r="Q317" s="8" t="n">
        <x:f>P317*E317</x:f>
        <x:v>450</x:v>
      </x:c>
      <x:c r="R317" s="8" t="n">
        <x:f>I317*E317</x:f>
        <x:v>63</x:v>
      </x:c>
      <x:c r="S317" s="8" t="n">
        <x:f>O317*E317</x:f>
        <x:v>0</x:v>
      </x:c>
      <x:c r="T317" s="2" t="n">
        <x:f>IF(A317&lt;DATE(2025,12,1),"",IF(D317="Closed",0,ROUND(AVERAGEIFS('Daily inputs'!$F$2:$F$367,'Daily inputs'!$B$2:$B$367,B317,'Daily inputs'!$C$2:$C$367,C317,'Daily inputs'!$D$2:$D$367,"Training"),0)))</x:f>
        <x:v>37</x:v>
      </x:c>
      <x:c r="U317" s="2" t="n">
        <x:f>IF(A317&lt;DATE(2025,12,1),"",ROUND(T317*IF(D317="Christmas",Notes!$B$9,Notes!$B$8),0))</x:f>
        <x:v>44</x:v>
      </x:c>
      <x:c r="V317" s="2" t="n">
        <x:f>IF(A317&lt;DATE(2025,12,1),"",ABS(T317-F317))</x:f>
        <x:v>6</x:v>
      </x:c>
      <x:c r="W317" s="2" t="n">
        <x:f>IF(A317&lt;DATE(2025,12,1),"",ABS(U317-F317))</x:f>
        <x:v>1</x:v>
      </x:c>
      <x:c r="X317" s="2" t="n">
        <x:f>IF(A317&lt;DATE(2025,12,1),"",T317-F317)</x:f>
        <x:v>-6</x:v>
      </x:c>
      <x:c r="Y317" s="2" t="n">
        <x:f>IF(A317&lt;DATE(2025,12,1),"",U317-F317)</x:f>
        <x:v>1</x:v>
      </x:c>
      <x:c r="Z317" s="2" t="n">
        <x:f>IF(N317&gt;0,1,0)</x:f>
        <x:v>0</x:v>
      </x:c>
    </x:row>
    <x:row r="318" ht="21" customHeight="1">
      <x:c r="A318" s="6" t="n">
        <x:f>'Daily inputs'!A318</x:f>
        <x:v>46014</x:v>
      </x:c>
      <x:c r="B318" s="2" t="str">
        <x:f>'Daily inputs'!B318</x:f>
        <x:v>I05</x:v>
      </x:c>
      <x:c r="C318" s="2" t="n">
        <x:f>'Daily inputs'!C318</x:f>
        <x:v>2</x:v>
      </x:c>
      <x:c r="D318" s="2" t="str">
        <x:f>'Daily inputs'!D318</x:f>
        <x:v>Christmas</x:v>
      </x:c>
      <x:c r="E318" s="7" t="n">
        <x:f>'Daily inputs'!E318</x:f>
        <x:v>3.5</x:v>
      </x:c>
      <x:c r="F318" s="2" t="n">
        <x:f>'Daily inputs'!F318</x:f>
        <x:v>95</x:v>
      </x:c>
      <x:c r="G318" s="2" t="n">
        <x:f>'Daily inputs'!G318</x:f>
        <x:v>13</x:v>
      </x:c>
      <x:c r="H318" s="2" t="n">
        <x:f>'Daily inputs'!H318</x:f>
        <x:v>96</x:v>
      </x:c>
      <x:c r="I318" s="2" t="n">
        <x:f>'Daily inputs'!I318</x:f>
        <x:v>0</x:v>
      </x:c>
      <x:c r="J318" s="2" t="n">
        <x:f>'Daily inputs'!J318</x:f>
        <x:v>0</x:v>
      </x:c>
      <x:c r="K318" s="2" t="n">
        <x:f>'Daily inputs'!K318</x:f>
        <x:v>0</x:v>
      </x:c>
      <x:c r="L318" s="2" t="n">
        <x:f>MIN(F318,G318+H318-I318)</x:f>
        <x:v>95</x:v>
      </x:c>
      <x:c r="M318" s="2" t="n">
        <x:f>G318+H318-L318-I318</x:f>
        <x:v>14</x:v>
      </x:c>
      <x:c r="N318" s="2" t="n">
        <x:f>F318-L318</x:f>
        <x:v>0</x:v>
      </x:c>
      <x:c r="O318" s="2" t="n">
        <x:f>N318-J318</x:f>
        <x:v>0</x:v>
      </x:c>
      <x:c r="P318" s="2" t="n">
        <x:f>L318+I318</x:f>
        <x:v>95</x:v>
      </x:c>
      <x:c r="Q318" s="8" t="n">
        <x:f>P318*E318</x:f>
        <x:v>332.5</x:v>
      </x:c>
      <x:c r="R318" s="8" t="n">
        <x:f>I318*E318</x:f>
        <x:v>0</x:v>
      </x:c>
      <x:c r="S318" s="8" t="n">
        <x:f>O318*E318</x:f>
        <x:v>0</x:v>
      </x:c>
      <x:c r="T318" s="2" t="n">
        <x:f>IF(A318&lt;DATE(2025,12,1),"",IF(D318="Closed",0,ROUND(AVERAGEIFS('Daily inputs'!$F$2:$F$367,'Daily inputs'!$B$2:$B$367,B318,'Daily inputs'!$C$2:$C$367,C318,'Daily inputs'!$D$2:$D$367,"Training"),0)))</x:f>
        <x:v>75</x:v>
      </x:c>
      <x:c r="U318" s="2" t="n">
        <x:f>IF(A318&lt;DATE(2025,12,1),"",ROUND(T318*IF(D318="Christmas",Notes!$B$9,Notes!$B$8),0))</x:f>
        <x:v>90</x:v>
      </x:c>
      <x:c r="V318" s="2" t="n">
        <x:f>IF(A318&lt;DATE(2025,12,1),"",ABS(T318-F318))</x:f>
        <x:v>20</x:v>
      </x:c>
      <x:c r="W318" s="2" t="n">
        <x:f>IF(A318&lt;DATE(2025,12,1),"",ABS(U318-F318))</x:f>
        <x:v>5</x:v>
      </x:c>
      <x:c r="X318" s="2" t="n">
        <x:f>IF(A318&lt;DATE(2025,12,1),"",T318-F318)</x:f>
        <x:v>-20</x:v>
      </x:c>
      <x:c r="Y318" s="2" t="n">
        <x:f>IF(A318&lt;DATE(2025,12,1),"",U318-F318)</x:f>
        <x:v>-5</x:v>
      </x:c>
      <x:c r="Z318" s="2" t="n">
        <x:f>IF(N318&gt;0,1,0)</x:f>
        <x:v>0</x:v>
      </x:c>
    </x:row>
    <x:row r="319" ht="21" customHeight="1">
      <x:c r="A319" s="6" t="n">
        <x:f>'Daily inputs'!A319</x:f>
        <x:v>46014</x:v>
      </x:c>
      <x:c r="B319" s="2" t="str">
        <x:f>'Daily inputs'!B319</x:f>
        <x:v>I06</x:v>
      </x:c>
      <x:c r="C319" s="2" t="n">
        <x:f>'Daily inputs'!C319</x:f>
        <x:v>2</x:v>
      </x:c>
      <x:c r="D319" s="2" t="str">
        <x:f>'Daily inputs'!D319</x:f>
        <x:v>Christmas</x:v>
      </x:c>
      <x:c r="E319" s="7" t="n">
        <x:f>'Daily inputs'!E319</x:f>
        <x:v>3</x:v>
      </x:c>
      <x:c r="F319" s="2" t="n">
        <x:f>'Daily inputs'!F319</x:f>
        <x:v>36</x:v>
      </x:c>
      <x:c r="G319" s="2" t="n">
        <x:f>'Daily inputs'!G319</x:f>
        <x:v>5</x:v>
      </x:c>
      <x:c r="H319" s="2" t="n">
        <x:f>'Daily inputs'!H319</x:f>
        <x:v>36</x:v>
      </x:c>
      <x:c r="I319" s="2" t="n">
        <x:f>'Daily inputs'!I319</x:f>
        <x:v>0</x:v>
      </x:c>
      <x:c r="J319" s="2" t="n">
        <x:f>'Daily inputs'!J319</x:f>
        <x:v>0</x:v>
      </x:c>
      <x:c r="K319" s="2" t="n">
        <x:f>'Daily inputs'!K319</x:f>
        <x:v>0</x:v>
      </x:c>
      <x:c r="L319" s="2" t="n">
        <x:f>MIN(F319,G319+H319-I319)</x:f>
        <x:v>36</x:v>
      </x:c>
      <x:c r="M319" s="2" t="n">
        <x:f>G319+H319-L319-I319</x:f>
        <x:v>5</x:v>
      </x:c>
      <x:c r="N319" s="2" t="n">
        <x:f>F319-L319</x:f>
        <x:v>0</x:v>
      </x:c>
      <x:c r="O319" s="2" t="n">
        <x:f>N319-J319</x:f>
        <x:v>0</x:v>
      </x:c>
      <x:c r="P319" s="2" t="n">
        <x:f>L319+I319</x:f>
        <x:v>36</x:v>
      </x:c>
      <x:c r="Q319" s="8" t="n">
        <x:f>P319*E319</x:f>
        <x:v>108</x:v>
      </x:c>
      <x:c r="R319" s="8" t="n">
        <x:f>I319*E319</x:f>
        <x:v>0</x:v>
      </x:c>
      <x:c r="S319" s="8" t="n">
        <x:f>O319*E319</x:f>
        <x:v>0</x:v>
      </x:c>
      <x:c r="T319" s="2" t="n">
        <x:f>IF(A319&lt;DATE(2025,12,1),"",IF(D319="Closed",0,ROUND(AVERAGEIFS('Daily inputs'!$F$2:$F$367,'Daily inputs'!$B$2:$B$367,B319,'Daily inputs'!$C$2:$C$367,C319,'Daily inputs'!$D$2:$D$367,"Training"),0)))</x:f>
        <x:v>28</x:v>
      </x:c>
      <x:c r="U319" s="2" t="n">
        <x:f>IF(A319&lt;DATE(2025,12,1),"",ROUND(T319*IF(D319="Christmas",Notes!$B$9,Notes!$B$8),0))</x:f>
        <x:v>34</x:v>
      </x:c>
      <x:c r="V319" s="2" t="n">
        <x:f>IF(A319&lt;DATE(2025,12,1),"",ABS(T319-F319))</x:f>
        <x:v>8</x:v>
      </x:c>
      <x:c r="W319" s="2" t="n">
        <x:f>IF(A319&lt;DATE(2025,12,1),"",ABS(U319-F319))</x:f>
        <x:v>2</x:v>
      </x:c>
      <x:c r="X319" s="2" t="n">
        <x:f>IF(A319&lt;DATE(2025,12,1),"",T319-F319)</x:f>
        <x:v>-8</x:v>
      </x:c>
      <x:c r="Y319" s="2" t="n">
        <x:f>IF(A319&lt;DATE(2025,12,1),"",U319-F319)</x:f>
        <x:v>-2</x:v>
      </x:c>
      <x:c r="Z319" s="2" t="n">
        <x:f>IF(N319&gt;0,1,0)</x:f>
        <x:v>0</x:v>
      </x:c>
    </x:row>
    <x:row r="320" ht="21" customHeight="1">
      <x:c r="A320" s="6" t="n">
        <x:f>'Daily inputs'!A320</x:f>
        <x:v>46015</x:v>
      </x:c>
      <x:c r="B320" s="2" t="str">
        <x:f>'Daily inputs'!B320</x:f>
        <x:v>I01</x:v>
      </x:c>
      <x:c r="C320" s="2" t="n">
        <x:f>'Daily inputs'!C320</x:f>
        <x:v>3</x:v>
      </x:c>
      <x:c r="D320" s="2" t="str">
        <x:f>'Daily inputs'!D320</x:f>
        <x:v>Christmas</x:v>
      </x:c>
      <x:c r="E320" s="7" t="n">
        <x:f>'Daily inputs'!E320</x:f>
        <x:v>8.5</x:v>
      </x:c>
      <x:c r="F320" s="2" t="n">
        <x:f>'Daily inputs'!F320</x:f>
        <x:v>92</x:v>
      </x:c>
      <x:c r="G320" s="2" t="n">
        <x:f>'Daily inputs'!G320</x:f>
        <x:v>0</x:v>
      </x:c>
      <x:c r="H320" s="2" t="n">
        <x:f>'Daily inputs'!H320</x:f>
        <x:v>60</x:v>
      </x:c>
      <x:c r="I320" s="2" t="n">
        <x:f>'Daily inputs'!I320</x:f>
        <x:v>0</x:v>
      </x:c>
      <x:c r="J320" s="2" t="n">
        <x:f>'Daily inputs'!J320</x:f>
        <x:v>21</x:v>
      </x:c>
      <x:c r="K320" s="2" t="n">
        <x:f>'Daily inputs'!K320</x:f>
        <x:v>3.5</x:v>
      </x:c>
      <x:c r="L320" s="2" t="n">
        <x:f>MIN(F320,G320+H320-I320)</x:f>
        <x:v>60</x:v>
      </x:c>
      <x:c r="M320" s="2" t="n">
        <x:f>G320+H320-L320-I320</x:f>
        <x:v>0</x:v>
      </x:c>
      <x:c r="N320" s="2" t="n">
        <x:f>F320-L320</x:f>
        <x:v>32</x:v>
      </x:c>
      <x:c r="O320" s="2" t="n">
        <x:f>N320-J320</x:f>
        <x:v>11</x:v>
      </x:c>
      <x:c r="P320" s="2" t="n">
        <x:f>L320+I320</x:f>
        <x:v>60</x:v>
      </x:c>
      <x:c r="Q320" s="8" t="n">
        <x:f>P320*E320</x:f>
        <x:v>510</x:v>
      </x:c>
      <x:c r="R320" s="8" t="n">
        <x:f>I320*E320</x:f>
        <x:v>0</x:v>
      </x:c>
      <x:c r="S320" s="8" t="n">
        <x:f>O320*E320</x:f>
        <x:v>93.5</x:v>
      </x:c>
      <x:c r="T320" s="2" t="n">
        <x:f>IF(A320&lt;DATE(2025,12,1),"",IF(D320="Closed",0,ROUND(AVERAGEIFS('Daily inputs'!$F$2:$F$367,'Daily inputs'!$B$2:$B$367,B320,'Daily inputs'!$C$2:$C$367,C320,'Daily inputs'!$D$2:$D$367,"Training"),0)))</x:f>
        <x:v>67</x:v>
      </x:c>
      <x:c r="U320" s="2" t="n">
        <x:f>IF(A320&lt;DATE(2025,12,1),"",ROUND(T320*IF(D320="Christmas",Notes!$B$9,Notes!$B$8),0))</x:f>
        <x:v>80</x:v>
      </x:c>
      <x:c r="V320" s="2" t="n">
        <x:f>IF(A320&lt;DATE(2025,12,1),"",ABS(T320-F320))</x:f>
        <x:v>25</x:v>
      </x:c>
      <x:c r="W320" s="2" t="n">
        <x:f>IF(A320&lt;DATE(2025,12,1),"",ABS(U320-F320))</x:f>
        <x:v>12</x:v>
      </x:c>
      <x:c r="X320" s="2" t="n">
        <x:f>IF(A320&lt;DATE(2025,12,1),"",T320-F320)</x:f>
        <x:v>-25</x:v>
      </x:c>
      <x:c r="Y320" s="2" t="n">
        <x:f>IF(A320&lt;DATE(2025,12,1),"",U320-F320)</x:f>
        <x:v>-12</x:v>
      </x:c>
      <x:c r="Z320" s="2" t="n">
        <x:f>IF(N320&gt;0,1,0)</x:f>
        <x:v>1</x:v>
      </x:c>
    </x:row>
    <x:row r="321" ht="21" customHeight="1">
      <x:c r="A321" s="6" t="n">
        <x:f>'Daily inputs'!A321</x:f>
        <x:v>46015</x:v>
      </x:c>
      <x:c r="B321" s="2" t="str">
        <x:f>'Daily inputs'!B321</x:f>
        <x:v>I02</x:v>
      </x:c>
      <x:c r="C321" s="2" t="n">
        <x:f>'Daily inputs'!C321</x:f>
        <x:v>3</x:v>
      </x:c>
      <x:c r="D321" s="2" t="str">
        <x:f>'Daily inputs'!D321</x:f>
        <x:v>Christmas</x:v>
      </x:c>
      <x:c r="E321" s="7" t="n">
        <x:f>'Daily inputs'!E321</x:f>
        <x:v>8</x:v>
      </x:c>
      <x:c r="F321" s="2" t="n">
        <x:f>'Daily inputs'!F321</x:f>
        <x:v>81</x:v>
      </x:c>
      <x:c r="G321" s="2" t="n">
        <x:f>'Daily inputs'!G321</x:f>
        <x:v>0</x:v>
      </x:c>
      <x:c r="H321" s="2" t="n">
        <x:f>'Daily inputs'!H321</x:f>
        <x:v>53</x:v>
      </x:c>
      <x:c r="I321" s="2" t="n">
        <x:f>'Daily inputs'!I321</x:f>
        <x:v>0</x:v>
      </x:c>
      <x:c r="J321" s="2" t="n">
        <x:f>'Daily inputs'!J321</x:f>
        <x:v>18</x:v>
      </x:c>
      <x:c r="K321" s="2" t="n">
        <x:f>'Daily inputs'!K321</x:f>
        <x:v>3.5</x:v>
      </x:c>
      <x:c r="L321" s="2" t="n">
        <x:f>MIN(F321,G321+H321-I321)</x:f>
        <x:v>53</x:v>
      </x:c>
      <x:c r="M321" s="2" t="n">
        <x:f>G321+H321-L321-I321</x:f>
        <x:v>0</x:v>
      </x:c>
      <x:c r="N321" s="2" t="n">
        <x:f>F321-L321</x:f>
        <x:v>28</x:v>
      </x:c>
      <x:c r="O321" s="2" t="n">
        <x:f>N321-J321</x:f>
        <x:v>10</x:v>
      </x:c>
      <x:c r="P321" s="2" t="n">
        <x:f>L321+I321</x:f>
        <x:v>53</x:v>
      </x:c>
      <x:c r="Q321" s="8" t="n">
        <x:f>P321*E321</x:f>
        <x:v>424</x:v>
      </x:c>
      <x:c r="R321" s="8" t="n">
        <x:f>I321*E321</x:f>
        <x:v>0</x:v>
      </x:c>
      <x:c r="S321" s="8" t="n">
        <x:f>O321*E321</x:f>
        <x:v>80</x:v>
      </x:c>
      <x:c r="T321" s="2" t="n">
        <x:f>IF(A321&lt;DATE(2025,12,1),"",IF(D321="Closed",0,ROUND(AVERAGEIFS('Daily inputs'!$F$2:$F$367,'Daily inputs'!$B$2:$B$367,B321,'Daily inputs'!$C$2:$C$367,C321,'Daily inputs'!$D$2:$D$367,"Training"),0)))</x:f>
        <x:v>54</x:v>
      </x:c>
      <x:c r="U321" s="2" t="n">
        <x:f>IF(A321&lt;DATE(2025,12,1),"",ROUND(T321*IF(D321="Christmas",Notes!$B$9,Notes!$B$8),0))</x:f>
        <x:v>65</x:v>
      </x:c>
      <x:c r="V321" s="2" t="n">
        <x:f>IF(A321&lt;DATE(2025,12,1),"",ABS(T321-F321))</x:f>
        <x:v>27</x:v>
      </x:c>
      <x:c r="W321" s="2" t="n">
        <x:f>IF(A321&lt;DATE(2025,12,1),"",ABS(U321-F321))</x:f>
        <x:v>16</x:v>
      </x:c>
      <x:c r="X321" s="2" t="n">
        <x:f>IF(A321&lt;DATE(2025,12,1),"",T321-F321)</x:f>
        <x:v>-27</x:v>
      </x:c>
      <x:c r="Y321" s="2" t="n">
        <x:f>IF(A321&lt;DATE(2025,12,1),"",U321-F321)</x:f>
        <x:v>-16</x:v>
      </x:c>
      <x:c r="Z321" s="2" t="n">
        <x:f>IF(N321&gt;0,1,0)</x:f>
        <x:v>1</x:v>
      </x:c>
    </x:row>
    <x:row r="322" ht="21" customHeight="1">
      <x:c r="A322" s="6" t="n">
        <x:f>'Daily inputs'!A322</x:f>
        <x:v>46015</x:v>
      </x:c>
      <x:c r="B322" s="2" t="str">
        <x:f>'Daily inputs'!B322</x:f>
        <x:v>I03</x:v>
      </x:c>
      <x:c r="C322" s="2" t="n">
        <x:f>'Daily inputs'!C322</x:f>
        <x:v>3</x:v>
      </x:c>
      <x:c r="D322" s="2" t="str">
        <x:f>'Daily inputs'!D322</x:f>
        <x:v>Christmas</x:v>
      </x:c>
      <x:c r="E322" s="7" t="n">
        <x:f>'Daily inputs'!E322</x:f>
        <x:v>7.5</x:v>
      </x:c>
      <x:c r="F322" s="2" t="n">
        <x:f>'Daily inputs'!F322</x:f>
        <x:v>40</x:v>
      </x:c>
      <x:c r="G322" s="2" t="n">
        <x:f>'Daily inputs'!G322</x:f>
        <x:v>0</x:v>
      </x:c>
      <x:c r="H322" s="2" t="n">
        <x:f>'Daily inputs'!H322</x:f>
        <x:v>71</x:v>
      </x:c>
      <x:c r="I322" s="2" t="n">
        <x:f>'Daily inputs'!I322</x:f>
        <x:v>31</x:v>
      </x:c>
      <x:c r="J322" s="2" t="n">
        <x:f>'Daily inputs'!J322</x:f>
        <x:v>0</x:v>
      </x:c>
      <x:c r="K322" s="2" t="n">
        <x:f>'Daily inputs'!K322</x:f>
        <x:v>0</x:v>
      </x:c>
      <x:c r="L322" s="2" t="n">
        <x:f>MIN(F322,G322+H322-I322)</x:f>
        <x:v>40</x:v>
      </x:c>
      <x:c r="M322" s="2" t="n">
        <x:f>G322+H322-L322-I322</x:f>
        <x:v>0</x:v>
      </x:c>
      <x:c r="N322" s="2" t="n">
        <x:f>F322-L322</x:f>
        <x:v>0</x:v>
      </x:c>
      <x:c r="O322" s="2" t="n">
        <x:f>N322-J322</x:f>
        <x:v>0</x:v>
      </x:c>
      <x:c r="P322" s="2" t="n">
        <x:f>L322+I322</x:f>
        <x:v>71</x:v>
      </x:c>
      <x:c r="Q322" s="8" t="n">
        <x:f>P322*E322</x:f>
        <x:v>532.5</x:v>
      </x:c>
      <x:c r="R322" s="8" t="n">
        <x:f>I322*E322</x:f>
        <x:v>232.5</x:v>
      </x:c>
      <x:c r="S322" s="8" t="n">
        <x:f>O322*E322</x:f>
        <x:v>0</x:v>
      </x:c>
      <x:c r="T322" s="2" t="n">
        <x:f>IF(A322&lt;DATE(2025,12,1),"",IF(D322="Closed",0,ROUND(AVERAGEIFS('Daily inputs'!$F$2:$F$367,'Daily inputs'!$B$2:$B$367,B322,'Daily inputs'!$C$2:$C$367,C322,'Daily inputs'!$D$2:$D$367,"Training"),0)))</x:f>
        <x:v>32</x:v>
      </x:c>
      <x:c r="U322" s="2" t="n">
        <x:f>IF(A322&lt;DATE(2025,12,1),"",ROUND(T322*IF(D322="Christmas",Notes!$B$9,Notes!$B$8),0))</x:f>
        <x:v>38</x:v>
      </x:c>
      <x:c r="V322" s="2" t="n">
        <x:f>IF(A322&lt;DATE(2025,12,1),"",ABS(T322-F322))</x:f>
        <x:v>8</x:v>
      </x:c>
      <x:c r="W322" s="2" t="n">
        <x:f>IF(A322&lt;DATE(2025,12,1),"",ABS(U322-F322))</x:f>
        <x:v>2</x:v>
      </x:c>
      <x:c r="X322" s="2" t="n">
        <x:f>IF(A322&lt;DATE(2025,12,1),"",T322-F322)</x:f>
        <x:v>-8</x:v>
      </x:c>
      <x:c r="Y322" s="2" t="n">
        <x:f>IF(A322&lt;DATE(2025,12,1),"",U322-F322)</x:f>
        <x:v>-2</x:v>
      </x:c>
      <x:c r="Z322" s="2" t="n">
        <x:f>IF(N322&gt;0,1,0)</x:f>
        <x:v>0</x:v>
      </x:c>
    </x:row>
    <x:row r="323" ht="21" customHeight="1">
      <x:c r="A323" s="6" t="n">
        <x:f>'Daily inputs'!A323</x:f>
        <x:v>46015</x:v>
      </x:c>
      <x:c r="B323" s="2" t="str">
        <x:f>'Daily inputs'!B323</x:f>
        <x:v>I04</x:v>
      </x:c>
      <x:c r="C323" s="2" t="n">
        <x:f>'Daily inputs'!C323</x:f>
        <x:v>3</x:v>
      </x:c>
      <x:c r="D323" s="2" t="str">
        <x:f>'Daily inputs'!D323</x:f>
        <x:v>Christmas</x:v>
      </x:c>
      <x:c r="E323" s="7" t="n">
        <x:f>'Daily inputs'!E323</x:f>
        <x:v>9</x:v>
      </x:c>
      <x:c r="F323" s="2" t="n">
        <x:f>'Daily inputs'!F323</x:f>
        <x:v>47</x:v>
      </x:c>
      <x:c r="G323" s="2" t="n">
        <x:f>'Daily inputs'!G323</x:f>
        <x:v>24</x:v>
      </x:c>
      <x:c r="H323" s="2" t="n">
        <x:f>'Daily inputs'!H323</x:f>
        <x:v>55</x:v>
      </x:c>
      <x:c r="I323" s="2" t="n">
        <x:f>'Daily inputs'!I323</x:f>
        <x:v>8</x:v>
      </x:c>
      <x:c r="J323" s="2" t="n">
        <x:f>'Daily inputs'!J323</x:f>
        <x:v>0</x:v>
      </x:c>
      <x:c r="K323" s="2" t="n">
        <x:f>'Daily inputs'!K323</x:f>
        <x:v>0</x:v>
      </x:c>
      <x:c r="L323" s="2" t="n">
        <x:f>MIN(F323,G323+H323-I323)</x:f>
        <x:v>47</x:v>
      </x:c>
      <x:c r="M323" s="2" t="n">
        <x:f>G323+H323-L323-I323</x:f>
        <x:v>24</x:v>
      </x:c>
      <x:c r="N323" s="2" t="n">
        <x:f>F323-L323</x:f>
        <x:v>0</x:v>
      </x:c>
      <x:c r="O323" s="2" t="n">
        <x:f>N323-J323</x:f>
        <x:v>0</x:v>
      </x:c>
      <x:c r="P323" s="2" t="n">
        <x:f>L323+I323</x:f>
        <x:v>55</x:v>
      </x:c>
      <x:c r="Q323" s="8" t="n">
        <x:f>P323*E323</x:f>
        <x:v>495</x:v>
      </x:c>
      <x:c r="R323" s="8" t="n">
        <x:f>I323*E323</x:f>
        <x:v>72</x:v>
      </x:c>
      <x:c r="S323" s="8" t="n">
        <x:f>O323*E323</x:f>
        <x:v>0</x:v>
      </x:c>
      <x:c r="T323" s="2" t="n">
        <x:f>IF(A323&lt;DATE(2025,12,1),"",IF(D323="Closed",0,ROUND(AVERAGEIFS('Daily inputs'!$F$2:$F$367,'Daily inputs'!$B$2:$B$367,B323,'Daily inputs'!$C$2:$C$367,C323,'Daily inputs'!$D$2:$D$367,"Training"),0)))</x:f>
        <x:v>37</x:v>
      </x:c>
      <x:c r="U323" s="2" t="n">
        <x:f>IF(A323&lt;DATE(2025,12,1),"",ROUND(T323*IF(D323="Christmas",Notes!$B$9,Notes!$B$8),0))</x:f>
        <x:v>44</x:v>
      </x:c>
      <x:c r="V323" s="2" t="n">
        <x:f>IF(A323&lt;DATE(2025,12,1),"",ABS(T323-F323))</x:f>
        <x:v>10</x:v>
      </x:c>
      <x:c r="W323" s="2" t="n">
        <x:f>IF(A323&lt;DATE(2025,12,1),"",ABS(U323-F323))</x:f>
        <x:v>3</x:v>
      </x:c>
      <x:c r="X323" s="2" t="n">
        <x:f>IF(A323&lt;DATE(2025,12,1),"",T323-F323)</x:f>
        <x:v>-10</x:v>
      </x:c>
      <x:c r="Y323" s="2" t="n">
        <x:f>IF(A323&lt;DATE(2025,12,1),"",U323-F323)</x:f>
        <x:v>-3</x:v>
      </x:c>
      <x:c r="Z323" s="2" t="n">
        <x:f>IF(N323&gt;0,1,0)</x:f>
        <x:v>0</x:v>
      </x:c>
    </x:row>
    <x:row r="324" ht="21" customHeight="1">
      <x:c r="A324" s="6" t="n">
        <x:f>'Daily inputs'!A324</x:f>
        <x:v>46015</x:v>
      </x:c>
      <x:c r="B324" s="2" t="str">
        <x:f>'Daily inputs'!B324</x:f>
        <x:v>I05</x:v>
      </x:c>
      <x:c r="C324" s="2" t="n">
        <x:f>'Daily inputs'!C324</x:f>
        <x:v>3</x:v>
      </x:c>
      <x:c r="D324" s="2" t="str">
        <x:f>'Daily inputs'!D324</x:f>
        <x:v>Christmas</x:v>
      </x:c>
      <x:c r="E324" s="7" t="n">
        <x:f>'Daily inputs'!E324</x:f>
        <x:v>3.5</x:v>
      </x:c>
      <x:c r="F324" s="2" t="n">
        <x:f>'Daily inputs'!F324</x:f>
        <x:v>96</x:v>
      </x:c>
      <x:c r="G324" s="2" t="n">
        <x:f>'Daily inputs'!G324</x:f>
        <x:v>14</x:v>
      </x:c>
      <x:c r="H324" s="2" t="n">
        <x:f>'Daily inputs'!H324</x:f>
        <x:v>96</x:v>
      </x:c>
      <x:c r="I324" s="2" t="n">
        <x:f>'Daily inputs'!I324</x:f>
        <x:v>0</x:v>
      </x:c>
      <x:c r="J324" s="2" t="n">
        <x:f>'Daily inputs'!J324</x:f>
        <x:v>0</x:v>
      </x:c>
      <x:c r="K324" s="2" t="n">
        <x:f>'Daily inputs'!K324</x:f>
        <x:v>0</x:v>
      </x:c>
      <x:c r="L324" s="2" t="n">
        <x:f>MIN(F324,G324+H324-I324)</x:f>
        <x:v>96</x:v>
      </x:c>
      <x:c r="M324" s="2" t="n">
        <x:f>G324+H324-L324-I324</x:f>
        <x:v>14</x:v>
      </x:c>
      <x:c r="N324" s="2" t="n">
        <x:f>F324-L324</x:f>
        <x:v>0</x:v>
      </x:c>
      <x:c r="O324" s="2" t="n">
        <x:f>N324-J324</x:f>
        <x:v>0</x:v>
      </x:c>
      <x:c r="P324" s="2" t="n">
        <x:f>L324+I324</x:f>
        <x:v>96</x:v>
      </x:c>
      <x:c r="Q324" s="8" t="n">
        <x:f>P324*E324</x:f>
        <x:v>336</x:v>
      </x:c>
      <x:c r="R324" s="8" t="n">
        <x:f>I324*E324</x:f>
        <x:v>0</x:v>
      </x:c>
      <x:c r="S324" s="8" t="n">
        <x:f>O324*E324</x:f>
        <x:v>0</x:v>
      </x:c>
      <x:c r="T324" s="2" t="n">
        <x:f>IF(A324&lt;DATE(2025,12,1),"",IF(D324="Closed",0,ROUND(AVERAGEIFS('Daily inputs'!$F$2:$F$367,'Daily inputs'!$B$2:$B$367,B324,'Daily inputs'!$C$2:$C$367,C324,'Daily inputs'!$D$2:$D$367,"Training"),0)))</x:f>
        <x:v>76</x:v>
      </x:c>
      <x:c r="U324" s="2" t="n">
        <x:f>IF(A324&lt;DATE(2025,12,1),"",ROUND(T324*IF(D324="Christmas",Notes!$B$9,Notes!$B$8),0))</x:f>
        <x:v>91</x:v>
      </x:c>
      <x:c r="V324" s="2" t="n">
        <x:f>IF(A324&lt;DATE(2025,12,1),"",ABS(T324-F324))</x:f>
        <x:v>20</x:v>
      </x:c>
      <x:c r="W324" s="2" t="n">
        <x:f>IF(A324&lt;DATE(2025,12,1),"",ABS(U324-F324))</x:f>
        <x:v>5</x:v>
      </x:c>
      <x:c r="X324" s="2" t="n">
        <x:f>IF(A324&lt;DATE(2025,12,1),"",T324-F324)</x:f>
        <x:v>-20</x:v>
      </x:c>
      <x:c r="Y324" s="2" t="n">
        <x:f>IF(A324&lt;DATE(2025,12,1),"",U324-F324)</x:f>
        <x:v>-5</x:v>
      </x:c>
      <x:c r="Z324" s="2" t="n">
        <x:f>IF(N324&gt;0,1,0)</x:f>
        <x:v>0</x:v>
      </x:c>
    </x:row>
    <x:row r="325" ht="21" customHeight="1">
      <x:c r="A325" s="6" t="n">
        <x:f>'Daily inputs'!A325</x:f>
        <x:v>46015</x:v>
      </x:c>
      <x:c r="B325" s="2" t="str">
        <x:f>'Daily inputs'!B325</x:f>
        <x:v>I06</x:v>
      </x:c>
      <x:c r="C325" s="2" t="n">
        <x:f>'Daily inputs'!C325</x:f>
        <x:v>3</x:v>
      </x:c>
      <x:c r="D325" s="2" t="str">
        <x:f>'Daily inputs'!D325</x:f>
        <x:v>Christmas</x:v>
      </x:c>
      <x:c r="E325" s="7" t="n">
        <x:f>'Daily inputs'!E325</x:f>
        <x:v>3</x:v>
      </x:c>
      <x:c r="F325" s="2" t="n">
        <x:f>'Daily inputs'!F325</x:f>
        <x:v>36</x:v>
      </x:c>
      <x:c r="G325" s="2" t="n">
        <x:f>'Daily inputs'!G325</x:f>
        <x:v>5</x:v>
      </x:c>
      <x:c r="H325" s="2" t="n">
        <x:f>'Daily inputs'!H325</x:f>
        <x:v>36</x:v>
      </x:c>
      <x:c r="I325" s="2" t="n">
        <x:f>'Daily inputs'!I325</x:f>
        <x:v>0</x:v>
      </x:c>
      <x:c r="J325" s="2" t="n">
        <x:f>'Daily inputs'!J325</x:f>
        <x:v>0</x:v>
      </x:c>
      <x:c r="K325" s="2" t="n">
        <x:f>'Daily inputs'!K325</x:f>
        <x:v>0</x:v>
      </x:c>
      <x:c r="L325" s="2" t="n">
        <x:f>MIN(F325,G325+H325-I325)</x:f>
        <x:v>36</x:v>
      </x:c>
      <x:c r="M325" s="2" t="n">
        <x:f>G325+H325-L325-I325</x:f>
        <x:v>5</x:v>
      </x:c>
      <x:c r="N325" s="2" t="n">
        <x:f>F325-L325</x:f>
        <x:v>0</x:v>
      </x:c>
      <x:c r="O325" s="2" t="n">
        <x:f>N325-J325</x:f>
        <x:v>0</x:v>
      </x:c>
      <x:c r="P325" s="2" t="n">
        <x:f>L325+I325</x:f>
        <x:v>36</x:v>
      </x:c>
      <x:c r="Q325" s="8" t="n">
        <x:f>P325*E325</x:f>
        <x:v>108</x:v>
      </x:c>
      <x:c r="R325" s="8" t="n">
        <x:f>I325*E325</x:f>
        <x:v>0</x:v>
      </x:c>
      <x:c r="S325" s="8" t="n">
        <x:f>O325*E325</x:f>
        <x:v>0</x:v>
      </x:c>
      <x:c r="T325" s="2" t="n">
        <x:f>IF(A325&lt;DATE(2025,12,1),"",IF(D325="Closed",0,ROUND(AVERAGEIFS('Daily inputs'!$F$2:$F$367,'Daily inputs'!$B$2:$B$367,B325,'Daily inputs'!$C$2:$C$367,C325,'Daily inputs'!$D$2:$D$367,"Training"),0)))</x:f>
        <x:v>29</x:v>
      </x:c>
      <x:c r="U325" s="2" t="n">
        <x:f>IF(A325&lt;DATE(2025,12,1),"",ROUND(T325*IF(D325="Christmas",Notes!$B$9,Notes!$B$8),0))</x:f>
        <x:v>35</x:v>
      </x:c>
      <x:c r="V325" s="2" t="n">
        <x:f>IF(A325&lt;DATE(2025,12,1),"",ABS(T325-F325))</x:f>
        <x:v>7</x:v>
      </x:c>
      <x:c r="W325" s="2" t="n">
        <x:f>IF(A325&lt;DATE(2025,12,1),"",ABS(U325-F325))</x:f>
        <x:v>1</x:v>
      </x:c>
      <x:c r="X325" s="2" t="n">
        <x:f>IF(A325&lt;DATE(2025,12,1),"",T325-F325)</x:f>
        <x:v>-7</x:v>
      </x:c>
      <x:c r="Y325" s="2" t="n">
        <x:f>IF(A325&lt;DATE(2025,12,1),"",U325-F325)</x:f>
        <x:v>-1</x:v>
      </x:c>
      <x:c r="Z325" s="2" t="n">
        <x:f>IF(N325&gt;0,1,0)</x:f>
        <x:v>0</x:v>
      </x:c>
    </x:row>
    <x:row r="326" ht="21" customHeight="1">
      <x:c r="A326" s="6" t="n">
        <x:f>'Daily inputs'!A326</x:f>
        <x:v>46016</x:v>
      </x:c>
      <x:c r="B326" s="2" t="str">
        <x:f>'Daily inputs'!B326</x:f>
        <x:v>I01</x:v>
      </x:c>
      <x:c r="C326" s="2" t="n">
        <x:f>'Daily inputs'!C326</x:f>
        <x:v>4</x:v>
      </x:c>
      <x:c r="D326" s="2" t="str">
        <x:f>'Daily inputs'!D326</x:f>
        <x:v>Closed</x:v>
      </x:c>
      <x:c r="E326" s="7" t="n">
        <x:f>'Daily inputs'!E326</x:f>
        <x:v>8.5</x:v>
      </x:c>
      <x:c r="F326" s="2" t="n">
        <x:f>'Daily inputs'!F326</x:f>
        <x:v>0</x:v>
      </x:c>
      <x:c r="G326" s="2" t="n">
        <x:f>'Daily inputs'!G326</x:f>
        <x:v>0</x:v>
      </x:c>
      <x:c r="H326" s="2" t="n">
        <x:f>'Daily inputs'!H326</x:f>
        <x:v>0</x:v>
      </x:c>
      <x:c r="I326" s="2" t="n">
        <x:f>'Daily inputs'!I326</x:f>
        <x:v>0</x:v>
      </x:c>
      <x:c r="J326" s="2" t="n">
        <x:f>'Daily inputs'!J326</x:f>
        <x:v>0</x:v>
      </x:c>
      <x:c r="K326" s="2" t="n">
        <x:f>'Daily inputs'!K326</x:f>
        <x:v>0</x:v>
      </x:c>
      <x:c r="L326" s="2" t="n">
        <x:f>MIN(F326,G326+H326-I326)</x:f>
        <x:v>0</x:v>
      </x:c>
      <x:c r="M326" s="2" t="n">
        <x:f>G326+H326-L326-I326</x:f>
        <x:v>0</x:v>
      </x:c>
      <x:c r="N326" s="2" t="n">
        <x:f>F326-L326</x:f>
        <x:v>0</x:v>
      </x:c>
      <x:c r="O326" s="2" t="n">
        <x:f>N326-J326</x:f>
        <x:v>0</x:v>
      </x:c>
      <x:c r="P326" s="2" t="n">
        <x:f>L326+I326</x:f>
        <x:v>0</x:v>
      </x:c>
      <x:c r="Q326" s="8" t="n">
        <x:f>P326*E326</x:f>
        <x:v>0</x:v>
      </x:c>
      <x:c r="R326" s="8" t="n">
        <x:f>I326*E326</x:f>
        <x:v>0</x:v>
      </x:c>
      <x:c r="S326" s="8" t="n">
        <x:f>O326*E326</x:f>
        <x:v>0</x:v>
      </x:c>
      <x:c r="T326" s="2" t="n">
        <x:f>IF(A326&lt;DATE(2025,12,1),"",IF(D326="Closed",0,ROUND(AVERAGEIFS('Daily inputs'!$F$2:$F$367,'Daily inputs'!$B$2:$B$367,B326,'Daily inputs'!$C$2:$C$367,C326,'Daily inputs'!$D$2:$D$367,"Training"),0)))</x:f>
        <x:v>0</x:v>
      </x:c>
      <x:c r="U326" s="2" t="n">
        <x:f>IF(A326&lt;DATE(2025,12,1),"",ROUND(T326*IF(D326="Christmas",Notes!$B$9,Notes!$B$8),0))</x:f>
        <x:v>0</x:v>
      </x:c>
      <x:c r="V326" s="2" t="n">
        <x:f>IF(A326&lt;DATE(2025,12,1),"",ABS(T326-F326))</x:f>
        <x:v>0</x:v>
      </x:c>
      <x:c r="W326" s="2" t="n">
        <x:f>IF(A326&lt;DATE(2025,12,1),"",ABS(U326-F326))</x:f>
        <x:v>0</x:v>
      </x:c>
      <x:c r="X326" s="2" t="n">
        <x:f>IF(A326&lt;DATE(2025,12,1),"",T326-F326)</x:f>
        <x:v>0</x:v>
      </x:c>
      <x:c r="Y326" s="2" t="n">
        <x:f>IF(A326&lt;DATE(2025,12,1),"",U326-F326)</x:f>
        <x:v>0</x:v>
      </x:c>
      <x:c r="Z326" s="2" t="n">
        <x:f>IF(N326&gt;0,1,0)</x:f>
        <x:v>0</x:v>
      </x:c>
    </x:row>
    <x:row r="327" ht="21" customHeight="1">
      <x:c r="A327" s="6" t="n">
        <x:f>'Daily inputs'!A327</x:f>
        <x:v>46016</x:v>
      </x:c>
      <x:c r="B327" s="2" t="str">
        <x:f>'Daily inputs'!B327</x:f>
        <x:v>I02</x:v>
      </x:c>
      <x:c r="C327" s="2" t="n">
        <x:f>'Daily inputs'!C327</x:f>
        <x:v>4</x:v>
      </x:c>
      <x:c r="D327" s="2" t="str">
        <x:f>'Daily inputs'!D327</x:f>
        <x:v>Closed</x:v>
      </x:c>
      <x:c r="E327" s="7" t="n">
        <x:f>'Daily inputs'!E327</x:f>
        <x:v>8</x:v>
      </x:c>
      <x:c r="F327" s="2" t="n">
        <x:f>'Daily inputs'!F327</x:f>
        <x:v>0</x:v>
      </x:c>
      <x:c r="G327" s="2" t="n">
        <x:f>'Daily inputs'!G327</x:f>
        <x:v>0</x:v>
      </x:c>
      <x:c r="H327" s="2" t="n">
        <x:f>'Daily inputs'!H327</x:f>
        <x:v>0</x:v>
      </x:c>
      <x:c r="I327" s="2" t="n">
        <x:f>'Daily inputs'!I327</x:f>
        <x:v>0</x:v>
      </x:c>
      <x:c r="J327" s="2" t="n">
        <x:f>'Daily inputs'!J327</x:f>
        <x:v>0</x:v>
      </x:c>
      <x:c r="K327" s="2" t="n">
        <x:f>'Daily inputs'!K327</x:f>
        <x:v>0</x:v>
      </x:c>
      <x:c r="L327" s="2" t="n">
        <x:f>MIN(F327,G327+H327-I327)</x:f>
        <x:v>0</x:v>
      </x:c>
      <x:c r="M327" s="2" t="n">
        <x:f>G327+H327-L327-I327</x:f>
        <x:v>0</x:v>
      </x:c>
      <x:c r="N327" s="2" t="n">
        <x:f>F327-L327</x:f>
        <x:v>0</x:v>
      </x:c>
      <x:c r="O327" s="2" t="n">
        <x:f>N327-J327</x:f>
        <x:v>0</x:v>
      </x:c>
      <x:c r="P327" s="2" t="n">
        <x:f>L327+I327</x:f>
        <x:v>0</x:v>
      </x:c>
      <x:c r="Q327" s="8" t="n">
        <x:f>P327*E327</x:f>
        <x:v>0</x:v>
      </x:c>
      <x:c r="R327" s="8" t="n">
        <x:f>I327*E327</x:f>
        <x:v>0</x:v>
      </x:c>
      <x:c r="S327" s="8" t="n">
        <x:f>O327*E327</x:f>
        <x:v>0</x:v>
      </x:c>
      <x:c r="T327" s="2" t="n">
        <x:f>IF(A327&lt;DATE(2025,12,1),"",IF(D327="Closed",0,ROUND(AVERAGEIFS('Daily inputs'!$F$2:$F$367,'Daily inputs'!$B$2:$B$367,B327,'Daily inputs'!$C$2:$C$367,C327,'Daily inputs'!$D$2:$D$367,"Training"),0)))</x:f>
        <x:v>0</x:v>
      </x:c>
      <x:c r="U327" s="2" t="n">
        <x:f>IF(A327&lt;DATE(2025,12,1),"",ROUND(T327*IF(D327="Christmas",Notes!$B$9,Notes!$B$8),0))</x:f>
        <x:v>0</x:v>
      </x:c>
      <x:c r="V327" s="2" t="n">
        <x:f>IF(A327&lt;DATE(2025,12,1),"",ABS(T327-F327))</x:f>
        <x:v>0</x:v>
      </x:c>
      <x:c r="W327" s="2" t="n">
        <x:f>IF(A327&lt;DATE(2025,12,1),"",ABS(U327-F327))</x:f>
        <x:v>0</x:v>
      </x:c>
      <x:c r="X327" s="2" t="n">
        <x:f>IF(A327&lt;DATE(2025,12,1),"",T327-F327)</x:f>
        <x:v>0</x:v>
      </x:c>
      <x:c r="Y327" s="2" t="n">
        <x:f>IF(A327&lt;DATE(2025,12,1),"",U327-F327)</x:f>
        <x:v>0</x:v>
      </x:c>
      <x:c r="Z327" s="2" t="n">
        <x:f>IF(N327&gt;0,1,0)</x:f>
        <x:v>0</x:v>
      </x:c>
    </x:row>
    <x:row r="328" ht="21" customHeight="1">
      <x:c r="A328" s="6" t="n">
        <x:f>'Daily inputs'!A328</x:f>
        <x:v>46016</x:v>
      </x:c>
      <x:c r="B328" s="2" t="str">
        <x:f>'Daily inputs'!B328</x:f>
        <x:v>I03</x:v>
      </x:c>
      <x:c r="C328" s="2" t="n">
        <x:f>'Daily inputs'!C328</x:f>
        <x:v>4</x:v>
      </x:c>
      <x:c r="D328" s="2" t="str">
        <x:f>'Daily inputs'!D328</x:f>
        <x:v>Closed</x:v>
      </x:c>
      <x:c r="E328" s="7" t="n">
        <x:f>'Daily inputs'!E328</x:f>
        <x:v>7.5</x:v>
      </x:c>
      <x:c r="F328" s="2" t="n">
        <x:f>'Daily inputs'!F328</x:f>
        <x:v>0</x:v>
      </x:c>
      <x:c r="G328" s="2" t="n">
        <x:f>'Daily inputs'!G328</x:f>
        <x:v>0</x:v>
      </x:c>
      <x:c r="H328" s="2" t="n">
        <x:f>'Daily inputs'!H328</x:f>
        <x:v>0</x:v>
      </x:c>
      <x:c r="I328" s="2" t="n">
        <x:f>'Daily inputs'!I328</x:f>
        <x:v>0</x:v>
      </x:c>
      <x:c r="J328" s="2" t="n">
        <x:f>'Daily inputs'!J328</x:f>
        <x:v>0</x:v>
      </x:c>
      <x:c r="K328" s="2" t="n">
        <x:f>'Daily inputs'!K328</x:f>
        <x:v>0</x:v>
      </x:c>
      <x:c r="L328" s="2" t="n">
        <x:f>MIN(F328,G328+H328-I328)</x:f>
        <x:v>0</x:v>
      </x:c>
      <x:c r="M328" s="2" t="n">
        <x:f>G328+H328-L328-I328</x:f>
        <x:v>0</x:v>
      </x:c>
      <x:c r="N328" s="2" t="n">
        <x:f>F328-L328</x:f>
        <x:v>0</x:v>
      </x:c>
      <x:c r="O328" s="2" t="n">
        <x:f>N328-J328</x:f>
        <x:v>0</x:v>
      </x:c>
      <x:c r="P328" s="2" t="n">
        <x:f>L328+I328</x:f>
        <x:v>0</x:v>
      </x:c>
      <x:c r="Q328" s="8" t="n">
        <x:f>P328*E328</x:f>
        <x:v>0</x:v>
      </x:c>
      <x:c r="R328" s="8" t="n">
        <x:f>I328*E328</x:f>
        <x:v>0</x:v>
      </x:c>
      <x:c r="S328" s="8" t="n">
        <x:f>O328*E328</x:f>
        <x:v>0</x:v>
      </x:c>
      <x:c r="T328" s="2" t="n">
        <x:f>IF(A328&lt;DATE(2025,12,1),"",IF(D328="Closed",0,ROUND(AVERAGEIFS('Daily inputs'!$F$2:$F$367,'Daily inputs'!$B$2:$B$367,B328,'Daily inputs'!$C$2:$C$367,C328,'Daily inputs'!$D$2:$D$367,"Training"),0)))</x:f>
        <x:v>0</x:v>
      </x:c>
      <x:c r="U328" s="2" t="n">
        <x:f>IF(A328&lt;DATE(2025,12,1),"",ROUND(T328*IF(D328="Christmas",Notes!$B$9,Notes!$B$8),0))</x:f>
        <x:v>0</x:v>
      </x:c>
      <x:c r="V328" s="2" t="n">
        <x:f>IF(A328&lt;DATE(2025,12,1),"",ABS(T328-F328))</x:f>
        <x:v>0</x:v>
      </x:c>
      <x:c r="W328" s="2" t="n">
        <x:f>IF(A328&lt;DATE(2025,12,1),"",ABS(U328-F328))</x:f>
        <x:v>0</x:v>
      </x:c>
      <x:c r="X328" s="2" t="n">
        <x:f>IF(A328&lt;DATE(2025,12,1),"",T328-F328)</x:f>
        <x:v>0</x:v>
      </x:c>
      <x:c r="Y328" s="2" t="n">
        <x:f>IF(A328&lt;DATE(2025,12,1),"",U328-F328)</x:f>
        <x:v>0</x:v>
      </x:c>
      <x:c r="Z328" s="2" t="n">
        <x:f>IF(N328&gt;0,1,0)</x:f>
        <x:v>0</x:v>
      </x:c>
    </x:row>
    <x:row r="329" ht="21" customHeight="1">
      <x:c r="A329" s="6" t="n">
        <x:f>'Daily inputs'!A329</x:f>
        <x:v>46016</x:v>
      </x:c>
      <x:c r="B329" s="2" t="str">
        <x:f>'Daily inputs'!B329</x:f>
        <x:v>I04</x:v>
      </x:c>
      <x:c r="C329" s="2" t="n">
        <x:f>'Daily inputs'!C329</x:f>
        <x:v>4</x:v>
      </x:c>
      <x:c r="D329" s="2" t="str">
        <x:f>'Daily inputs'!D329</x:f>
        <x:v>Closed</x:v>
      </x:c>
      <x:c r="E329" s="7" t="n">
        <x:f>'Daily inputs'!E329</x:f>
        <x:v>9</x:v>
      </x:c>
      <x:c r="F329" s="2" t="n">
        <x:f>'Daily inputs'!F329</x:f>
        <x:v>0</x:v>
      </x:c>
      <x:c r="G329" s="2" t="n">
        <x:f>'Daily inputs'!G329</x:f>
        <x:v>24</x:v>
      </x:c>
      <x:c r="H329" s="2" t="n">
        <x:f>'Daily inputs'!H329</x:f>
        <x:v>0</x:v>
      </x:c>
      <x:c r="I329" s="2" t="n">
        <x:f>'Daily inputs'!I329</x:f>
        <x:v>0</x:v>
      </x:c>
      <x:c r="J329" s="2" t="n">
        <x:f>'Daily inputs'!J329</x:f>
        <x:v>0</x:v>
      </x:c>
      <x:c r="K329" s="2" t="n">
        <x:f>'Daily inputs'!K329</x:f>
        <x:v>0</x:v>
      </x:c>
      <x:c r="L329" s="2" t="n">
        <x:f>MIN(F329,G329+H329-I329)</x:f>
        <x:v>0</x:v>
      </x:c>
      <x:c r="M329" s="2" t="n">
        <x:f>G329+H329-L329-I329</x:f>
        <x:v>24</x:v>
      </x:c>
      <x:c r="N329" s="2" t="n">
        <x:f>F329-L329</x:f>
        <x:v>0</x:v>
      </x:c>
      <x:c r="O329" s="2" t="n">
        <x:f>N329-J329</x:f>
        <x:v>0</x:v>
      </x:c>
      <x:c r="P329" s="2" t="n">
        <x:f>L329+I329</x:f>
        <x:v>0</x:v>
      </x:c>
      <x:c r="Q329" s="8" t="n">
        <x:f>P329*E329</x:f>
        <x:v>0</x:v>
      </x:c>
      <x:c r="R329" s="8" t="n">
        <x:f>I329*E329</x:f>
        <x:v>0</x:v>
      </x:c>
      <x:c r="S329" s="8" t="n">
        <x:f>O329*E329</x:f>
        <x:v>0</x:v>
      </x:c>
      <x:c r="T329" s="2" t="n">
        <x:f>IF(A329&lt;DATE(2025,12,1),"",IF(D329="Closed",0,ROUND(AVERAGEIFS('Daily inputs'!$F$2:$F$367,'Daily inputs'!$B$2:$B$367,B329,'Daily inputs'!$C$2:$C$367,C329,'Daily inputs'!$D$2:$D$367,"Training"),0)))</x:f>
        <x:v>0</x:v>
      </x:c>
      <x:c r="U329" s="2" t="n">
        <x:f>IF(A329&lt;DATE(2025,12,1),"",ROUND(T329*IF(D329="Christmas",Notes!$B$9,Notes!$B$8),0))</x:f>
        <x:v>0</x:v>
      </x:c>
      <x:c r="V329" s="2" t="n">
        <x:f>IF(A329&lt;DATE(2025,12,1),"",ABS(T329-F329))</x:f>
        <x:v>0</x:v>
      </x:c>
      <x:c r="W329" s="2" t="n">
        <x:f>IF(A329&lt;DATE(2025,12,1),"",ABS(U329-F329))</x:f>
        <x:v>0</x:v>
      </x:c>
      <x:c r="X329" s="2" t="n">
        <x:f>IF(A329&lt;DATE(2025,12,1),"",T329-F329)</x:f>
        <x:v>0</x:v>
      </x:c>
      <x:c r="Y329" s="2" t="n">
        <x:f>IF(A329&lt;DATE(2025,12,1),"",U329-F329)</x:f>
        <x:v>0</x:v>
      </x:c>
      <x:c r="Z329" s="2" t="n">
        <x:f>IF(N329&gt;0,1,0)</x:f>
        <x:v>0</x:v>
      </x:c>
    </x:row>
    <x:row r="330" ht="21" customHeight="1">
      <x:c r="A330" s="6" t="n">
        <x:f>'Daily inputs'!A330</x:f>
        <x:v>46016</x:v>
      </x:c>
      <x:c r="B330" s="2" t="str">
        <x:f>'Daily inputs'!B330</x:f>
        <x:v>I05</x:v>
      </x:c>
      <x:c r="C330" s="2" t="n">
        <x:f>'Daily inputs'!C330</x:f>
        <x:v>4</x:v>
      </x:c>
      <x:c r="D330" s="2" t="str">
        <x:f>'Daily inputs'!D330</x:f>
        <x:v>Closed</x:v>
      </x:c>
      <x:c r="E330" s="7" t="n">
        <x:f>'Daily inputs'!E330</x:f>
        <x:v>3.5</x:v>
      </x:c>
      <x:c r="F330" s="2" t="n">
        <x:f>'Daily inputs'!F330</x:f>
        <x:v>0</x:v>
      </x:c>
      <x:c r="G330" s="2" t="n">
        <x:f>'Daily inputs'!G330</x:f>
        <x:v>14</x:v>
      </x:c>
      <x:c r="H330" s="2" t="n">
        <x:f>'Daily inputs'!H330</x:f>
        <x:v>0</x:v>
      </x:c>
      <x:c r="I330" s="2" t="n">
        <x:f>'Daily inputs'!I330</x:f>
        <x:v>0</x:v>
      </x:c>
      <x:c r="J330" s="2" t="n">
        <x:f>'Daily inputs'!J330</x:f>
        <x:v>0</x:v>
      </x:c>
      <x:c r="K330" s="2" t="n">
        <x:f>'Daily inputs'!K330</x:f>
        <x:v>0</x:v>
      </x:c>
      <x:c r="L330" s="2" t="n">
        <x:f>MIN(F330,G330+H330-I330)</x:f>
        <x:v>0</x:v>
      </x:c>
      <x:c r="M330" s="2" t="n">
        <x:f>G330+H330-L330-I330</x:f>
        <x:v>14</x:v>
      </x:c>
      <x:c r="N330" s="2" t="n">
        <x:f>F330-L330</x:f>
        <x:v>0</x:v>
      </x:c>
      <x:c r="O330" s="2" t="n">
        <x:f>N330-J330</x:f>
        <x:v>0</x:v>
      </x:c>
      <x:c r="P330" s="2" t="n">
        <x:f>L330+I330</x:f>
        <x:v>0</x:v>
      </x:c>
      <x:c r="Q330" s="8" t="n">
        <x:f>P330*E330</x:f>
        <x:v>0</x:v>
      </x:c>
      <x:c r="R330" s="8" t="n">
        <x:f>I330*E330</x:f>
        <x:v>0</x:v>
      </x:c>
      <x:c r="S330" s="8" t="n">
        <x:f>O330*E330</x:f>
        <x:v>0</x:v>
      </x:c>
      <x:c r="T330" s="2" t="n">
        <x:f>IF(A330&lt;DATE(2025,12,1),"",IF(D330="Closed",0,ROUND(AVERAGEIFS('Daily inputs'!$F$2:$F$367,'Daily inputs'!$B$2:$B$367,B330,'Daily inputs'!$C$2:$C$367,C330,'Daily inputs'!$D$2:$D$367,"Training"),0)))</x:f>
        <x:v>0</x:v>
      </x:c>
      <x:c r="U330" s="2" t="n">
        <x:f>IF(A330&lt;DATE(2025,12,1),"",ROUND(T330*IF(D330="Christmas",Notes!$B$9,Notes!$B$8),0))</x:f>
        <x:v>0</x:v>
      </x:c>
      <x:c r="V330" s="2" t="n">
        <x:f>IF(A330&lt;DATE(2025,12,1),"",ABS(T330-F330))</x:f>
        <x:v>0</x:v>
      </x:c>
      <x:c r="W330" s="2" t="n">
        <x:f>IF(A330&lt;DATE(2025,12,1),"",ABS(U330-F330))</x:f>
        <x:v>0</x:v>
      </x:c>
      <x:c r="X330" s="2" t="n">
        <x:f>IF(A330&lt;DATE(2025,12,1),"",T330-F330)</x:f>
        <x:v>0</x:v>
      </x:c>
      <x:c r="Y330" s="2" t="n">
        <x:f>IF(A330&lt;DATE(2025,12,1),"",U330-F330)</x:f>
        <x:v>0</x:v>
      </x:c>
      <x:c r="Z330" s="2" t="n">
        <x:f>IF(N330&gt;0,1,0)</x:f>
        <x:v>0</x:v>
      </x:c>
    </x:row>
    <x:row r="331" ht="21" customHeight="1">
      <x:c r="A331" s="6" t="n">
        <x:f>'Daily inputs'!A331</x:f>
        <x:v>46016</x:v>
      </x:c>
      <x:c r="B331" s="2" t="str">
        <x:f>'Daily inputs'!B331</x:f>
        <x:v>I06</x:v>
      </x:c>
      <x:c r="C331" s="2" t="n">
        <x:f>'Daily inputs'!C331</x:f>
        <x:v>4</x:v>
      </x:c>
      <x:c r="D331" s="2" t="str">
        <x:f>'Daily inputs'!D331</x:f>
        <x:v>Closed</x:v>
      </x:c>
      <x:c r="E331" s="7" t="n">
        <x:f>'Daily inputs'!E331</x:f>
        <x:v>3</x:v>
      </x:c>
      <x:c r="F331" s="2" t="n">
        <x:f>'Daily inputs'!F331</x:f>
        <x:v>0</x:v>
      </x:c>
      <x:c r="G331" s="2" t="n">
        <x:f>'Daily inputs'!G331</x:f>
        <x:v>5</x:v>
      </x:c>
      <x:c r="H331" s="2" t="n">
        <x:f>'Daily inputs'!H331</x:f>
        <x:v>0</x:v>
      </x:c>
      <x:c r="I331" s="2" t="n">
        <x:f>'Daily inputs'!I331</x:f>
        <x:v>0</x:v>
      </x:c>
      <x:c r="J331" s="2" t="n">
        <x:f>'Daily inputs'!J331</x:f>
        <x:v>0</x:v>
      </x:c>
      <x:c r="K331" s="2" t="n">
        <x:f>'Daily inputs'!K331</x:f>
        <x:v>0</x:v>
      </x:c>
      <x:c r="L331" s="2" t="n">
        <x:f>MIN(F331,G331+H331-I331)</x:f>
        <x:v>0</x:v>
      </x:c>
      <x:c r="M331" s="2" t="n">
        <x:f>G331+H331-L331-I331</x:f>
        <x:v>5</x:v>
      </x:c>
      <x:c r="N331" s="2" t="n">
        <x:f>F331-L331</x:f>
        <x:v>0</x:v>
      </x:c>
      <x:c r="O331" s="2" t="n">
        <x:f>N331-J331</x:f>
        <x:v>0</x:v>
      </x:c>
      <x:c r="P331" s="2" t="n">
        <x:f>L331+I331</x:f>
        <x:v>0</x:v>
      </x:c>
      <x:c r="Q331" s="8" t="n">
        <x:f>P331*E331</x:f>
        <x:v>0</x:v>
      </x:c>
      <x:c r="R331" s="8" t="n">
        <x:f>I331*E331</x:f>
        <x:v>0</x:v>
      </x:c>
      <x:c r="S331" s="8" t="n">
        <x:f>O331*E331</x:f>
        <x:v>0</x:v>
      </x:c>
      <x:c r="T331" s="2" t="n">
        <x:f>IF(A331&lt;DATE(2025,12,1),"",IF(D331="Closed",0,ROUND(AVERAGEIFS('Daily inputs'!$F$2:$F$367,'Daily inputs'!$B$2:$B$367,B331,'Daily inputs'!$C$2:$C$367,C331,'Daily inputs'!$D$2:$D$367,"Training"),0)))</x:f>
        <x:v>0</x:v>
      </x:c>
      <x:c r="U331" s="2" t="n">
        <x:f>IF(A331&lt;DATE(2025,12,1),"",ROUND(T331*IF(D331="Christmas",Notes!$B$9,Notes!$B$8),0))</x:f>
        <x:v>0</x:v>
      </x:c>
      <x:c r="V331" s="2" t="n">
        <x:f>IF(A331&lt;DATE(2025,12,1),"",ABS(T331-F331))</x:f>
        <x:v>0</x:v>
      </x:c>
      <x:c r="W331" s="2" t="n">
        <x:f>IF(A331&lt;DATE(2025,12,1),"",ABS(U331-F331))</x:f>
        <x:v>0</x:v>
      </x:c>
      <x:c r="X331" s="2" t="n">
        <x:f>IF(A331&lt;DATE(2025,12,1),"",T331-F331)</x:f>
        <x:v>0</x:v>
      </x:c>
      <x:c r="Y331" s="2" t="n">
        <x:f>IF(A331&lt;DATE(2025,12,1),"",U331-F331)</x:f>
        <x:v>0</x:v>
      </x:c>
      <x:c r="Z331" s="2" t="n">
        <x:f>IF(N331&gt;0,1,0)</x:f>
        <x:v>0</x:v>
      </x:c>
    </x:row>
    <x:row r="332" ht="21" customHeight="1">
      <x:c r="A332" s="6" t="n">
        <x:f>'Daily inputs'!A332</x:f>
        <x:v>46017</x:v>
      </x:c>
      <x:c r="B332" s="2" t="str">
        <x:f>'Daily inputs'!B332</x:f>
        <x:v>I01</x:v>
      </x:c>
      <x:c r="C332" s="2" t="n">
        <x:f>'Daily inputs'!C332</x:f>
        <x:v>5</x:v>
      </x:c>
      <x:c r="D332" s="2" t="str">
        <x:f>'Daily inputs'!D332</x:f>
        <x:v>Christmas</x:v>
      </x:c>
      <x:c r="E332" s="7" t="n">
        <x:f>'Daily inputs'!E332</x:f>
        <x:v>8.5</x:v>
      </x:c>
      <x:c r="F332" s="2" t="n">
        <x:f>'Daily inputs'!F332</x:f>
        <x:v>123</x:v>
      </x:c>
      <x:c r="G332" s="2" t="n">
        <x:f>'Daily inputs'!G332</x:f>
        <x:v>0</x:v>
      </x:c>
      <x:c r="H332" s="2" t="n">
        <x:f>'Daily inputs'!H332</x:f>
        <x:v>141</x:v>
      </x:c>
      <x:c r="I332" s="2" t="n">
        <x:f>'Daily inputs'!I332</x:f>
        <x:v>0</x:v>
      </x:c>
      <x:c r="J332" s="2" t="n">
        <x:f>'Daily inputs'!J332</x:f>
        <x:v>0</x:v>
      </x:c>
      <x:c r="K332" s="2" t="n">
        <x:f>'Daily inputs'!K332</x:f>
        <x:v>0</x:v>
      </x:c>
      <x:c r="L332" s="2" t="n">
        <x:f>MIN(F332,G332+H332-I332)</x:f>
        <x:v>123</x:v>
      </x:c>
      <x:c r="M332" s="2" t="n">
        <x:f>G332+H332-L332-I332</x:f>
        <x:v>18</x:v>
      </x:c>
      <x:c r="N332" s="2" t="n">
        <x:f>F332-L332</x:f>
        <x:v>0</x:v>
      </x:c>
      <x:c r="O332" s="2" t="n">
        <x:f>N332-J332</x:f>
        <x:v>0</x:v>
      </x:c>
      <x:c r="P332" s="2" t="n">
        <x:f>L332+I332</x:f>
        <x:v>123</x:v>
      </x:c>
      <x:c r="Q332" s="8" t="n">
        <x:f>P332*E332</x:f>
        <x:v>1045.5</x:v>
      </x:c>
      <x:c r="R332" s="8" t="n">
        <x:f>I332*E332</x:f>
        <x:v>0</x:v>
      </x:c>
      <x:c r="S332" s="8" t="n">
        <x:f>O332*E332</x:f>
        <x:v>0</x:v>
      </x:c>
      <x:c r="T332" s="2" t="n">
        <x:f>IF(A332&lt;DATE(2025,12,1),"",IF(D332="Closed",0,ROUND(AVERAGEIFS('Daily inputs'!$F$2:$F$367,'Daily inputs'!$B$2:$B$367,B332,'Daily inputs'!$C$2:$C$367,C332,'Daily inputs'!$D$2:$D$367,"Training"),0)))</x:f>
        <x:v>84</x:v>
      </x:c>
      <x:c r="U332" s="2" t="n">
        <x:f>IF(A332&lt;DATE(2025,12,1),"",ROUND(T332*IF(D332="Christmas",Notes!$B$9,Notes!$B$8),0))</x:f>
        <x:v>101</x:v>
      </x:c>
      <x:c r="V332" s="2" t="n">
        <x:f>IF(A332&lt;DATE(2025,12,1),"",ABS(T332-F332))</x:f>
        <x:v>39</x:v>
      </x:c>
      <x:c r="W332" s="2" t="n">
        <x:f>IF(A332&lt;DATE(2025,12,1),"",ABS(U332-F332))</x:f>
        <x:v>22</x:v>
      </x:c>
      <x:c r="X332" s="2" t="n">
        <x:f>IF(A332&lt;DATE(2025,12,1),"",T332-F332)</x:f>
        <x:v>-39</x:v>
      </x:c>
      <x:c r="Y332" s="2" t="n">
        <x:f>IF(A332&lt;DATE(2025,12,1),"",U332-F332)</x:f>
        <x:v>-22</x:v>
      </x:c>
      <x:c r="Z332" s="2" t="n">
        <x:f>IF(N332&gt;0,1,0)</x:f>
        <x:v>0</x:v>
      </x:c>
    </x:row>
    <x:row r="333" ht="21" customHeight="1">
      <x:c r="A333" s="6" t="n">
        <x:f>'Daily inputs'!A333</x:f>
        <x:v>46017</x:v>
      </x:c>
      <x:c r="B333" s="2" t="str">
        <x:f>'Daily inputs'!B333</x:f>
        <x:v>I02</x:v>
      </x:c>
      <x:c r="C333" s="2" t="n">
        <x:f>'Daily inputs'!C333</x:f>
        <x:v>5</x:v>
      </x:c>
      <x:c r="D333" s="2" t="str">
        <x:f>'Daily inputs'!D333</x:f>
        <x:v>Christmas</x:v>
      </x:c>
      <x:c r="E333" s="7" t="n">
        <x:f>'Daily inputs'!E333</x:f>
        <x:v>8</x:v>
      </x:c>
      <x:c r="F333" s="2" t="n">
        <x:f>'Daily inputs'!F333</x:f>
        <x:v>98</x:v>
      </x:c>
      <x:c r="G333" s="2" t="n">
        <x:f>'Daily inputs'!G333</x:f>
        <x:v>0</x:v>
      </x:c>
      <x:c r="H333" s="2" t="n">
        <x:f>'Daily inputs'!H333</x:f>
        <x:v>113</x:v>
      </x:c>
      <x:c r="I333" s="2" t="n">
        <x:f>'Daily inputs'!I333</x:f>
        <x:v>0</x:v>
      </x:c>
      <x:c r="J333" s="2" t="n">
        <x:f>'Daily inputs'!J333</x:f>
        <x:v>0</x:v>
      </x:c>
      <x:c r="K333" s="2" t="n">
        <x:f>'Daily inputs'!K333</x:f>
        <x:v>0</x:v>
      </x:c>
      <x:c r="L333" s="2" t="n">
        <x:f>MIN(F333,G333+H333-I333)</x:f>
        <x:v>98</x:v>
      </x:c>
      <x:c r="M333" s="2" t="n">
        <x:f>G333+H333-L333-I333</x:f>
        <x:v>15</x:v>
      </x:c>
      <x:c r="N333" s="2" t="n">
        <x:f>F333-L333</x:f>
        <x:v>0</x:v>
      </x:c>
      <x:c r="O333" s="2" t="n">
        <x:f>N333-J333</x:f>
        <x:v>0</x:v>
      </x:c>
      <x:c r="P333" s="2" t="n">
        <x:f>L333+I333</x:f>
        <x:v>98</x:v>
      </x:c>
      <x:c r="Q333" s="8" t="n">
        <x:f>P333*E333</x:f>
        <x:v>784</x:v>
      </x:c>
      <x:c r="R333" s="8" t="n">
        <x:f>I333*E333</x:f>
        <x:v>0</x:v>
      </x:c>
      <x:c r="S333" s="8" t="n">
        <x:f>O333*E333</x:f>
        <x:v>0</x:v>
      </x:c>
      <x:c r="T333" s="2" t="n">
        <x:f>IF(A333&lt;DATE(2025,12,1),"",IF(D333="Closed",0,ROUND(AVERAGEIFS('Daily inputs'!$F$2:$F$367,'Daily inputs'!$B$2:$B$367,B333,'Daily inputs'!$C$2:$C$367,C333,'Daily inputs'!$D$2:$D$367,"Training"),0)))</x:f>
        <x:v>68</x:v>
      </x:c>
      <x:c r="U333" s="2" t="n">
        <x:f>IF(A333&lt;DATE(2025,12,1),"",ROUND(T333*IF(D333="Christmas",Notes!$B$9,Notes!$B$8),0))</x:f>
        <x:v>82</x:v>
      </x:c>
      <x:c r="V333" s="2" t="n">
        <x:f>IF(A333&lt;DATE(2025,12,1),"",ABS(T333-F333))</x:f>
        <x:v>30</x:v>
      </x:c>
      <x:c r="W333" s="2" t="n">
        <x:f>IF(A333&lt;DATE(2025,12,1),"",ABS(U333-F333))</x:f>
        <x:v>16</x:v>
      </x:c>
      <x:c r="X333" s="2" t="n">
        <x:f>IF(A333&lt;DATE(2025,12,1),"",T333-F333)</x:f>
        <x:v>-30</x:v>
      </x:c>
      <x:c r="Y333" s="2" t="n">
        <x:f>IF(A333&lt;DATE(2025,12,1),"",U333-F333)</x:f>
        <x:v>-16</x:v>
      </x:c>
      <x:c r="Z333" s="2" t="n">
        <x:f>IF(N333&gt;0,1,0)</x:f>
        <x:v>0</x:v>
      </x:c>
    </x:row>
    <x:row r="334" ht="21" customHeight="1">
      <x:c r="A334" s="6" t="n">
        <x:f>'Daily inputs'!A334</x:f>
        <x:v>46017</x:v>
      </x:c>
      <x:c r="B334" s="2" t="str">
        <x:f>'Daily inputs'!B334</x:f>
        <x:v>I03</x:v>
      </x:c>
      <x:c r="C334" s="2" t="n">
        <x:f>'Daily inputs'!C334</x:f>
        <x:v>5</x:v>
      </x:c>
      <x:c r="D334" s="2" t="str">
        <x:f>'Daily inputs'!D334</x:f>
        <x:v>Christmas</x:v>
      </x:c>
      <x:c r="E334" s="7" t="n">
        <x:f>'Daily inputs'!E334</x:f>
        <x:v>7.5</x:v>
      </x:c>
      <x:c r="F334" s="2" t="n">
        <x:f>'Daily inputs'!F334</x:f>
        <x:v>47</x:v>
      </x:c>
      <x:c r="G334" s="2" t="n">
        <x:f>'Daily inputs'!G334</x:f>
        <x:v>0</x:v>
      </x:c>
      <x:c r="H334" s="2" t="n">
        <x:f>'Daily inputs'!H334</x:f>
        <x:v>54</x:v>
      </x:c>
      <x:c r="I334" s="2" t="n">
        <x:f>'Daily inputs'!I334</x:f>
        <x:v>0</x:v>
      </x:c>
      <x:c r="J334" s="2" t="n">
        <x:f>'Daily inputs'!J334</x:f>
        <x:v>0</x:v>
      </x:c>
      <x:c r="K334" s="2" t="n">
        <x:f>'Daily inputs'!K334</x:f>
        <x:v>0</x:v>
      </x:c>
      <x:c r="L334" s="2" t="n">
        <x:f>MIN(F334,G334+H334-I334)</x:f>
        <x:v>47</x:v>
      </x:c>
      <x:c r="M334" s="2" t="n">
        <x:f>G334+H334-L334-I334</x:f>
        <x:v>7</x:v>
      </x:c>
      <x:c r="N334" s="2" t="n">
        <x:f>F334-L334</x:f>
        <x:v>0</x:v>
      </x:c>
      <x:c r="O334" s="2" t="n">
        <x:f>N334-J334</x:f>
        <x:v>0</x:v>
      </x:c>
      <x:c r="P334" s="2" t="n">
        <x:f>L334+I334</x:f>
        <x:v>47</x:v>
      </x:c>
      <x:c r="Q334" s="8" t="n">
        <x:f>P334*E334</x:f>
        <x:v>352.5</x:v>
      </x:c>
      <x:c r="R334" s="8" t="n">
        <x:f>I334*E334</x:f>
        <x:v>0</x:v>
      </x:c>
      <x:c r="S334" s="8" t="n">
        <x:f>O334*E334</x:f>
        <x:v>0</x:v>
      </x:c>
      <x:c r="T334" s="2" t="n">
        <x:f>IF(A334&lt;DATE(2025,12,1),"",IF(D334="Closed",0,ROUND(AVERAGEIFS('Daily inputs'!$F$2:$F$367,'Daily inputs'!$B$2:$B$367,B334,'Daily inputs'!$C$2:$C$367,C334,'Daily inputs'!$D$2:$D$367,"Training"),0)))</x:f>
        <x:v>41</x:v>
      </x:c>
      <x:c r="U334" s="2" t="n">
        <x:f>IF(A334&lt;DATE(2025,12,1),"",ROUND(T334*IF(D334="Christmas",Notes!$B$9,Notes!$B$8),0))</x:f>
        <x:v>49</x:v>
      </x:c>
      <x:c r="V334" s="2" t="n">
        <x:f>IF(A334&lt;DATE(2025,12,1),"",ABS(T334-F334))</x:f>
        <x:v>6</x:v>
      </x:c>
      <x:c r="W334" s="2" t="n">
        <x:f>IF(A334&lt;DATE(2025,12,1),"",ABS(U334-F334))</x:f>
        <x:v>2</x:v>
      </x:c>
      <x:c r="X334" s="2" t="n">
        <x:f>IF(A334&lt;DATE(2025,12,1),"",T334-F334)</x:f>
        <x:v>-6</x:v>
      </x:c>
      <x:c r="Y334" s="2" t="n">
        <x:f>IF(A334&lt;DATE(2025,12,1),"",U334-F334)</x:f>
        <x:v>2</x:v>
      </x:c>
      <x:c r="Z334" s="2" t="n">
        <x:f>IF(N334&gt;0,1,0)</x:f>
        <x:v>0</x:v>
      </x:c>
    </x:row>
    <x:row r="335" ht="21" customHeight="1">
      <x:c r="A335" s="6" t="n">
        <x:f>'Daily inputs'!A335</x:f>
        <x:v>46017</x:v>
      </x:c>
      <x:c r="B335" s="2" t="str">
        <x:f>'Daily inputs'!B335</x:f>
        <x:v>I04</x:v>
      </x:c>
      <x:c r="C335" s="2" t="n">
        <x:f>'Daily inputs'!C335</x:f>
        <x:v>5</x:v>
      </x:c>
      <x:c r="D335" s="2" t="str">
        <x:f>'Daily inputs'!D335</x:f>
        <x:v>Christmas</x:v>
      </x:c>
      <x:c r="E335" s="7" t="n">
        <x:f>'Daily inputs'!E335</x:f>
        <x:v>9</x:v>
      </x:c>
      <x:c r="F335" s="2" t="n">
        <x:f>'Daily inputs'!F335</x:f>
        <x:v>58</x:v>
      </x:c>
      <x:c r="G335" s="2" t="n">
        <x:f>'Daily inputs'!G335</x:f>
        <x:v>24</x:v>
      </x:c>
      <x:c r="H335" s="2" t="n">
        <x:f>'Daily inputs'!H335</x:f>
        <x:v>43</x:v>
      </x:c>
      <x:c r="I335" s="2" t="n">
        <x:f>'Daily inputs'!I335</x:f>
        <x:v>0</x:v>
      </x:c>
      <x:c r="J335" s="2" t="n">
        <x:f>'Daily inputs'!J335</x:f>
        <x:v>0</x:v>
      </x:c>
      <x:c r="K335" s="2" t="n">
        <x:f>'Daily inputs'!K335</x:f>
        <x:v>0</x:v>
      </x:c>
      <x:c r="L335" s="2" t="n">
        <x:f>MIN(F335,G335+H335-I335)</x:f>
        <x:v>58</x:v>
      </x:c>
      <x:c r="M335" s="2" t="n">
        <x:f>G335+H335-L335-I335</x:f>
        <x:v>9</x:v>
      </x:c>
      <x:c r="N335" s="2" t="n">
        <x:f>F335-L335</x:f>
        <x:v>0</x:v>
      </x:c>
      <x:c r="O335" s="2" t="n">
        <x:f>N335-J335</x:f>
        <x:v>0</x:v>
      </x:c>
      <x:c r="P335" s="2" t="n">
        <x:f>L335+I335</x:f>
        <x:v>58</x:v>
      </x:c>
      <x:c r="Q335" s="8" t="n">
        <x:f>P335*E335</x:f>
        <x:v>522</x:v>
      </x:c>
      <x:c r="R335" s="8" t="n">
        <x:f>I335*E335</x:f>
        <x:v>0</x:v>
      </x:c>
      <x:c r="S335" s="8" t="n">
        <x:f>O335*E335</x:f>
        <x:v>0</x:v>
      </x:c>
      <x:c r="T335" s="2" t="n">
        <x:f>IF(A335&lt;DATE(2025,12,1),"",IF(D335="Closed",0,ROUND(AVERAGEIFS('Daily inputs'!$F$2:$F$367,'Daily inputs'!$B$2:$B$367,B335,'Daily inputs'!$C$2:$C$367,C335,'Daily inputs'!$D$2:$D$367,"Training"),0)))</x:f>
        <x:v>48</x:v>
      </x:c>
      <x:c r="U335" s="2" t="n">
        <x:f>IF(A335&lt;DATE(2025,12,1),"",ROUND(T335*IF(D335="Christmas",Notes!$B$9,Notes!$B$8),0))</x:f>
        <x:v>58</x:v>
      </x:c>
      <x:c r="V335" s="2" t="n">
        <x:f>IF(A335&lt;DATE(2025,12,1),"",ABS(T335-F335))</x:f>
        <x:v>10</x:v>
      </x:c>
      <x:c r="W335" s="2" t="n">
        <x:f>IF(A335&lt;DATE(2025,12,1),"",ABS(U335-F335))</x:f>
        <x:v>0</x:v>
      </x:c>
      <x:c r="X335" s="2" t="n">
        <x:f>IF(A335&lt;DATE(2025,12,1),"",T335-F335)</x:f>
        <x:v>-10</x:v>
      </x:c>
      <x:c r="Y335" s="2" t="n">
        <x:f>IF(A335&lt;DATE(2025,12,1),"",U335-F335)</x:f>
        <x:v>0</x:v>
      </x:c>
      <x:c r="Z335" s="2" t="n">
        <x:f>IF(N335&gt;0,1,0)</x:f>
        <x:v>0</x:v>
      </x:c>
    </x:row>
    <x:row r="336" ht="21" customHeight="1">
      <x:c r="A336" s="6" t="n">
        <x:f>'Daily inputs'!A336</x:f>
        <x:v>46017</x:v>
      </x:c>
      <x:c r="B336" s="2" t="str">
        <x:f>'Daily inputs'!B336</x:f>
        <x:v>I05</x:v>
      </x:c>
      <x:c r="C336" s="2" t="n">
        <x:f>'Daily inputs'!C336</x:f>
        <x:v>5</x:v>
      </x:c>
      <x:c r="D336" s="2" t="str">
        <x:f>'Daily inputs'!D336</x:f>
        <x:v>Christmas</x:v>
      </x:c>
      <x:c r="E336" s="7" t="n">
        <x:f>'Daily inputs'!E336</x:f>
        <x:v>3.5</x:v>
      </x:c>
      <x:c r="F336" s="2" t="n">
        <x:f>'Daily inputs'!F336</x:f>
        <x:v>114</x:v>
      </x:c>
      <x:c r="G336" s="2" t="n">
        <x:f>'Daily inputs'!G336</x:f>
        <x:v>14</x:v>
      </x:c>
      <x:c r="H336" s="2" t="n">
        <x:f>'Daily inputs'!H336</x:f>
        <x:v>117</x:v>
      </x:c>
      <x:c r="I336" s="2" t="n">
        <x:f>'Daily inputs'!I336</x:f>
        <x:v>0</x:v>
      </x:c>
      <x:c r="J336" s="2" t="n">
        <x:f>'Daily inputs'!J336</x:f>
        <x:v>0</x:v>
      </x:c>
      <x:c r="K336" s="2" t="n">
        <x:f>'Daily inputs'!K336</x:f>
        <x:v>0</x:v>
      </x:c>
      <x:c r="L336" s="2" t="n">
        <x:f>MIN(F336,G336+H336-I336)</x:f>
        <x:v>114</x:v>
      </x:c>
      <x:c r="M336" s="2" t="n">
        <x:f>G336+H336-L336-I336</x:f>
        <x:v>17</x:v>
      </x:c>
      <x:c r="N336" s="2" t="n">
        <x:f>F336-L336</x:f>
        <x:v>0</x:v>
      </x:c>
      <x:c r="O336" s="2" t="n">
        <x:f>N336-J336</x:f>
        <x:v>0</x:v>
      </x:c>
      <x:c r="P336" s="2" t="n">
        <x:f>L336+I336</x:f>
        <x:v>114</x:v>
      </x:c>
      <x:c r="Q336" s="8" t="n">
        <x:f>P336*E336</x:f>
        <x:v>399</x:v>
      </x:c>
      <x:c r="R336" s="8" t="n">
        <x:f>I336*E336</x:f>
        <x:v>0</x:v>
      </x:c>
      <x:c r="S336" s="8" t="n">
        <x:f>O336*E336</x:f>
        <x:v>0</x:v>
      </x:c>
      <x:c r="T336" s="2" t="n">
        <x:f>IF(A336&lt;DATE(2025,12,1),"",IF(D336="Closed",0,ROUND(AVERAGEIFS('Daily inputs'!$F$2:$F$367,'Daily inputs'!$B$2:$B$367,B336,'Daily inputs'!$C$2:$C$367,C336,'Daily inputs'!$D$2:$D$367,"Training"),0)))</x:f>
        <x:v>98</x:v>
      </x:c>
      <x:c r="U336" s="2" t="n">
        <x:f>IF(A336&lt;DATE(2025,12,1),"",ROUND(T336*IF(D336="Christmas",Notes!$B$9,Notes!$B$8),0))</x:f>
        <x:v>118</x:v>
      </x:c>
      <x:c r="V336" s="2" t="n">
        <x:f>IF(A336&lt;DATE(2025,12,1),"",ABS(T336-F336))</x:f>
        <x:v>16</x:v>
      </x:c>
      <x:c r="W336" s="2" t="n">
        <x:f>IF(A336&lt;DATE(2025,12,1),"",ABS(U336-F336))</x:f>
        <x:v>4</x:v>
      </x:c>
      <x:c r="X336" s="2" t="n">
        <x:f>IF(A336&lt;DATE(2025,12,1),"",T336-F336)</x:f>
        <x:v>-16</x:v>
      </x:c>
      <x:c r="Y336" s="2" t="n">
        <x:f>IF(A336&lt;DATE(2025,12,1),"",U336-F336)</x:f>
        <x:v>4</x:v>
      </x:c>
      <x:c r="Z336" s="2" t="n">
        <x:f>IF(N336&gt;0,1,0)</x:f>
        <x:v>0</x:v>
      </x:c>
    </x:row>
    <x:row r="337" ht="21" customHeight="1">
      <x:c r="A337" s="6" t="n">
        <x:f>'Daily inputs'!A337</x:f>
        <x:v>46017</x:v>
      </x:c>
      <x:c r="B337" s="2" t="str">
        <x:f>'Daily inputs'!B337</x:f>
        <x:v>I06</x:v>
      </x:c>
      <x:c r="C337" s="2" t="n">
        <x:f>'Daily inputs'!C337</x:f>
        <x:v>5</x:v>
      </x:c>
      <x:c r="D337" s="2" t="str">
        <x:f>'Daily inputs'!D337</x:f>
        <x:v>Christmas</x:v>
      </x:c>
      <x:c r="E337" s="7" t="n">
        <x:f>'Daily inputs'!E337</x:f>
        <x:v>3</x:v>
      </x:c>
      <x:c r="F337" s="2" t="n">
        <x:f>'Daily inputs'!F337</x:f>
        <x:v>46</x:v>
      </x:c>
      <x:c r="G337" s="2" t="n">
        <x:f>'Daily inputs'!G337</x:f>
        <x:v>5</x:v>
      </x:c>
      <x:c r="H337" s="2" t="n">
        <x:f>'Daily inputs'!H337</x:f>
        <x:v>48</x:v>
      </x:c>
      <x:c r="I337" s="2" t="n">
        <x:f>'Daily inputs'!I337</x:f>
        <x:v>0</x:v>
      </x:c>
      <x:c r="J337" s="2" t="n">
        <x:f>'Daily inputs'!J337</x:f>
        <x:v>0</x:v>
      </x:c>
      <x:c r="K337" s="2" t="n">
        <x:f>'Daily inputs'!K337</x:f>
        <x:v>0</x:v>
      </x:c>
      <x:c r="L337" s="2" t="n">
        <x:f>MIN(F337,G337+H337-I337)</x:f>
        <x:v>46</x:v>
      </x:c>
      <x:c r="M337" s="2" t="n">
        <x:f>G337+H337-L337-I337</x:f>
        <x:v>7</x:v>
      </x:c>
      <x:c r="N337" s="2" t="n">
        <x:f>F337-L337</x:f>
        <x:v>0</x:v>
      </x:c>
      <x:c r="O337" s="2" t="n">
        <x:f>N337-J337</x:f>
        <x:v>0</x:v>
      </x:c>
      <x:c r="P337" s="2" t="n">
        <x:f>L337+I337</x:f>
        <x:v>46</x:v>
      </x:c>
      <x:c r="Q337" s="8" t="n">
        <x:f>P337*E337</x:f>
        <x:v>138</x:v>
      </x:c>
      <x:c r="R337" s="8" t="n">
        <x:f>I337*E337</x:f>
        <x:v>0</x:v>
      </x:c>
      <x:c r="S337" s="8" t="n">
        <x:f>O337*E337</x:f>
        <x:v>0</x:v>
      </x:c>
      <x:c r="T337" s="2" t="n">
        <x:f>IF(A337&lt;DATE(2025,12,1),"",IF(D337="Closed",0,ROUND(AVERAGEIFS('Daily inputs'!$F$2:$F$367,'Daily inputs'!$B$2:$B$367,B337,'Daily inputs'!$C$2:$C$367,C337,'Daily inputs'!$D$2:$D$367,"Training"),0)))</x:f>
        <x:v>38</x:v>
      </x:c>
      <x:c r="U337" s="2" t="n">
        <x:f>IF(A337&lt;DATE(2025,12,1),"",ROUND(T337*IF(D337="Christmas",Notes!$B$9,Notes!$B$8),0))</x:f>
        <x:v>46</x:v>
      </x:c>
      <x:c r="V337" s="2" t="n">
        <x:f>IF(A337&lt;DATE(2025,12,1),"",ABS(T337-F337))</x:f>
        <x:v>8</x:v>
      </x:c>
      <x:c r="W337" s="2" t="n">
        <x:f>IF(A337&lt;DATE(2025,12,1),"",ABS(U337-F337))</x:f>
        <x:v>0</x:v>
      </x:c>
      <x:c r="X337" s="2" t="n">
        <x:f>IF(A337&lt;DATE(2025,12,1),"",T337-F337)</x:f>
        <x:v>-8</x:v>
      </x:c>
      <x:c r="Y337" s="2" t="n">
        <x:f>IF(A337&lt;DATE(2025,12,1),"",U337-F337)</x:f>
        <x:v>0</x:v>
      </x:c>
      <x:c r="Z337" s="2" t="n">
        <x:f>IF(N337&gt;0,1,0)</x:f>
        <x:v>0</x:v>
      </x:c>
    </x:row>
    <x:row r="338" ht="21" customHeight="1">
      <x:c r="A338" s="6" t="n">
        <x:f>'Daily inputs'!A338</x:f>
        <x:v>46018</x:v>
      </x:c>
      <x:c r="B338" s="2" t="str">
        <x:f>'Daily inputs'!B338</x:f>
        <x:v>I01</x:v>
      </x:c>
      <x:c r="C338" s="2" t="n">
        <x:f>'Daily inputs'!C338</x:f>
        <x:v>6</x:v>
      </x:c>
      <x:c r="D338" s="2" t="str">
        <x:f>'Daily inputs'!D338</x:f>
        <x:v>December normal</x:v>
      </x:c>
      <x:c r="E338" s="7" t="n">
        <x:f>'Daily inputs'!E338</x:f>
        <x:v>8.5</x:v>
      </x:c>
      <x:c r="F338" s="2" t="n">
        <x:f>'Daily inputs'!F338</x:f>
        <x:v>97</x:v>
      </x:c>
      <x:c r="G338" s="2" t="n">
        <x:f>'Daily inputs'!G338</x:f>
        <x:v>18</x:v>
      </x:c>
      <x:c r="H338" s="2" t="n">
        <x:f>'Daily inputs'!H338</x:f>
        <x:v>94</x:v>
      </x:c>
      <x:c r="I338" s="2" t="n">
        <x:f>'Daily inputs'!I338</x:f>
        <x:v>0</x:v>
      </x:c>
      <x:c r="J338" s="2" t="n">
        <x:f>'Daily inputs'!J338</x:f>
        <x:v>0</x:v>
      </x:c>
      <x:c r="K338" s="2" t="n">
        <x:f>'Daily inputs'!K338</x:f>
        <x:v>0</x:v>
      </x:c>
      <x:c r="L338" s="2" t="n">
        <x:f>MIN(F338,G338+H338-I338)</x:f>
        <x:v>97</x:v>
      </x:c>
      <x:c r="M338" s="2" t="n">
        <x:f>G338+H338-L338-I338</x:f>
        <x:v>15</x:v>
      </x:c>
      <x:c r="N338" s="2" t="n">
        <x:f>F338-L338</x:f>
        <x:v>0</x:v>
      </x:c>
      <x:c r="O338" s="2" t="n">
        <x:f>N338-J338</x:f>
        <x:v>0</x:v>
      </x:c>
      <x:c r="P338" s="2" t="n">
        <x:f>L338+I338</x:f>
        <x:v>97</x:v>
      </x:c>
      <x:c r="Q338" s="8" t="n">
        <x:f>P338*E338</x:f>
        <x:v>824.5</x:v>
      </x:c>
      <x:c r="R338" s="8" t="n">
        <x:f>I338*E338</x:f>
        <x:v>0</x:v>
      </x:c>
      <x:c r="S338" s="8" t="n">
        <x:f>O338*E338</x:f>
        <x:v>0</x:v>
      </x:c>
      <x:c r="T338" s="2" t="n">
        <x:f>IF(A338&lt;DATE(2025,12,1),"",IF(D338="Closed",0,ROUND(AVERAGEIFS('Daily inputs'!$F$2:$F$367,'Daily inputs'!$B$2:$B$367,B338,'Daily inputs'!$C$2:$C$367,C338,'Daily inputs'!$D$2:$D$367,"Training"),0)))</x:f>
        <x:v>94</x:v>
      </x:c>
      <x:c r="U338" s="2" t="n">
        <x:f>IF(A338&lt;DATE(2025,12,1),"",ROUND(T338*IF(D338="Christmas",Notes!$B$9,Notes!$B$8),0))</x:f>
        <x:v>98</x:v>
      </x:c>
      <x:c r="V338" s="2" t="n">
        <x:f>IF(A338&lt;DATE(2025,12,1),"",ABS(T338-F338))</x:f>
        <x:v>3</x:v>
      </x:c>
      <x:c r="W338" s="2" t="n">
        <x:f>IF(A338&lt;DATE(2025,12,1),"",ABS(U338-F338))</x:f>
        <x:v>1</x:v>
      </x:c>
      <x:c r="X338" s="2" t="n">
        <x:f>IF(A338&lt;DATE(2025,12,1),"",T338-F338)</x:f>
        <x:v>-3</x:v>
      </x:c>
      <x:c r="Y338" s="2" t="n">
        <x:f>IF(A338&lt;DATE(2025,12,1),"",U338-F338)</x:f>
        <x:v>1</x:v>
      </x:c>
      <x:c r="Z338" s="2" t="n">
        <x:f>IF(N338&gt;0,1,0)</x:f>
        <x:v>0</x:v>
      </x:c>
    </x:row>
    <x:row r="339" ht="21" customHeight="1">
      <x:c r="A339" s="6" t="n">
        <x:f>'Daily inputs'!A339</x:f>
        <x:v>46018</x:v>
      </x:c>
      <x:c r="B339" s="2" t="str">
        <x:f>'Daily inputs'!B339</x:f>
        <x:v>I02</x:v>
      </x:c>
      <x:c r="C339" s="2" t="n">
        <x:f>'Daily inputs'!C339</x:f>
        <x:v>6</x:v>
      </x:c>
      <x:c r="D339" s="2" t="str">
        <x:f>'Daily inputs'!D339</x:f>
        <x:v>December normal</x:v>
      </x:c>
      <x:c r="E339" s="7" t="n">
        <x:f>'Daily inputs'!E339</x:f>
        <x:v>8</x:v>
      </x:c>
      <x:c r="F339" s="2" t="n">
        <x:f>'Daily inputs'!F339</x:f>
        <x:v>79</x:v>
      </x:c>
      <x:c r="G339" s="2" t="n">
        <x:f>'Daily inputs'!G339</x:f>
        <x:v>15</x:v>
      </x:c>
      <x:c r="H339" s="2" t="n">
        <x:f>'Daily inputs'!H339</x:f>
        <x:v>76</x:v>
      </x:c>
      <x:c r="I339" s="2" t="n">
        <x:f>'Daily inputs'!I339</x:f>
        <x:v>0</x:v>
      </x:c>
      <x:c r="J339" s="2" t="n">
        <x:f>'Daily inputs'!J339</x:f>
        <x:v>0</x:v>
      </x:c>
      <x:c r="K339" s="2" t="n">
        <x:f>'Daily inputs'!K339</x:f>
        <x:v>0</x:v>
      </x:c>
      <x:c r="L339" s="2" t="n">
        <x:f>MIN(F339,G339+H339-I339)</x:f>
        <x:v>79</x:v>
      </x:c>
      <x:c r="M339" s="2" t="n">
        <x:f>G339+H339-L339-I339</x:f>
        <x:v>12</x:v>
      </x:c>
      <x:c r="N339" s="2" t="n">
        <x:f>F339-L339</x:f>
        <x:v>0</x:v>
      </x:c>
      <x:c r="O339" s="2" t="n">
        <x:f>N339-J339</x:f>
        <x:v>0</x:v>
      </x:c>
      <x:c r="P339" s="2" t="n">
        <x:f>L339+I339</x:f>
        <x:v>79</x:v>
      </x:c>
      <x:c r="Q339" s="8" t="n">
        <x:f>P339*E339</x:f>
        <x:v>632</x:v>
      </x:c>
      <x:c r="R339" s="8" t="n">
        <x:f>I339*E339</x:f>
        <x:v>0</x:v>
      </x:c>
      <x:c r="S339" s="8" t="n">
        <x:f>O339*E339</x:f>
        <x:v>0</x:v>
      </x:c>
      <x:c r="T339" s="2" t="n">
        <x:f>IF(A339&lt;DATE(2025,12,1),"",IF(D339="Closed",0,ROUND(AVERAGEIFS('Daily inputs'!$F$2:$F$367,'Daily inputs'!$B$2:$B$367,B339,'Daily inputs'!$C$2:$C$367,C339,'Daily inputs'!$D$2:$D$367,"Training"),0)))</x:f>
        <x:v>76</x:v>
      </x:c>
      <x:c r="U339" s="2" t="n">
        <x:f>IF(A339&lt;DATE(2025,12,1),"",ROUND(T339*IF(D339="Christmas",Notes!$B$9,Notes!$B$8),0))</x:f>
        <x:v>79</x:v>
      </x:c>
      <x:c r="V339" s="2" t="n">
        <x:f>IF(A339&lt;DATE(2025,12,1),"",ABS(T339-F339))</x:f>
        <x:v>3</x:v>
      </x:c>
      <x:c r="W339" s="2" t="n">
        <x:f>IF(A339&lt;DATE(2025,12,1),"",ABS(U339-F339))</x:f>
        <x:v>0</x:v>
      </x:c>
      <x:c r="X339" s="2" t="n">
        <x:f>IF(A339&lt;DATE(2025,12,1),"",T339-F339)</x:f>
        <x:v>-3</x:v>
      </x:c>
      <x:c r="Y339" s="2" t="n">
        <x:f>IF(A339&lt;DATE(2025,12,1),"",U339-F339)</x:f>
        <x:v>0</x:v>
      </x:c>
      <x:c r="Z339" s="2" t="n">
        <x:f>IF(N339&gt;0,1,0)</x:f>
        <x:v>0</x:v>
      </x:c>
    </x:row>
    <x:row r="340" ht="21" customHeight="1">
      <x:c r="A340" s="6" t="n">
        <x:f>'Daily inputs'!A340</x:f>
        <x:v>46018</x:v>
      </x:c>
      <x:c r="B340" s="2" t="str">
        <x:f>'Daily inputs'!B340</x:f>
        <x:v>I03</x:v>
      </x:c>
      <x:c r="C340" s="2" t="n">
        <x:f>'Daily inputs'!C340</x:f>
        <x:v>6</x:v>
      </x:c>
      <x:c r="D340" s="2" t="str">
        <x:f>'Daily inputs'!D340</x:f>
        <x:v>December normal</x:v>
      </x:c>
      <x:c r="E340" s="7" t="n">
        <x:f>'Daily inputs'!E340</x:f>
        <x:v>7.5</x:v>
      </x:c>
      <x:c r="F340" s="2" t="n">
        <x:f>'Daily inputs'!F340</x:f>
        <x:v>45</x:v>
      </x:c>
      <x:c r="G340" s="2" t="n">
        <x:f>'Daily inputs'!G340</x:f>
        <x:v>7</x:v>
      </x:c>
      <x:c r="H340" s="2" t="n">
        <x:f>'Daily inputs'!H340</x:f>
        <x:v>45</x:v>
      </x:c>
      <x:c r="I340" s="2" t="n">
        <x:f>'Daily inputs'!I340</x:f>
        <x:v>0</x:v>
      </x:c>
      <x:c r="J340" s="2" t="n">
        <x:f>'Daily inputs'!J340</x:f>
        <x:v>0</x:v>
      </x:c>
      <x:c r="K340" s="2" t="n">
        <x:f>'Daily inputs'!K340</x:f>
        <x:v>0</x:v>
      </x:c>
      <x:c r="L340" s="2" t="n">
        <x:f>MIN(F340,G340+H340-I340)</x:f>
        <x:v>45</x:v>
      </x:c>
      <x:c r="M340" s="2" t="n">
        <x:f>G340+H340-L340-I340</x:f>
        <x:v>7</x:v>
      </x:c>
      <x:c r="N340" s="2" t="n">
        <x:f>F340-L340</x:f>
        <x:v>0</x:v>
      </x:c>
      <x:c r="O340" s="2" t="n">
        <x:f>N340-J340</x:f>
        <x:v>0</x:v>
      </x:c>
      <x:c r="P340" s="2" t="n">
        <x:f>L340+I340</x:f>
        <x:v>45</x:v>
      </x:c>
      <x:c r="Q340" s="8" t="n">
        <x:f>P340*E340</x:f>
        <x:v>337.5</x:v>
      </x:c>
      <x:c r="R340" s="8" t="n">
        <x:f>I340*E340</x:f>
        <x:v>0</x:v>
      </x:c>
      <x:c r="S340" s="8" t="n">
        <x:f>O340*E340</x:f>
        <x:v>0</x:v>
      </x:c>
      <x:c r="T340" s="2" t="n">
        <x:f>IF(A340&lt;DATE(2025,12,1),"",IF(D340="Closed",0,ROUND(AVERAGEIFS('Daily inputs'!$F$2:$F$367,'Daily inputs'!$B$2:$B$367,B340,'Daily inputs'!$C$2:$C$367,C340,'Daily inputs'!$D$2:$D$367,"Training"),0)))</x:f>
        <x:v>43</x:v>
      </x:c>
      <x:c r="U340" s="2" t="n">
        <x:f>IF(A340&lt;DATE(2025,12,1),"",ROUND(T340*IF(D340="Christmas",Notes!$B$9,Notes!$B$8),0))</x:f>
        <x:v>45</x:v>
      </x:c>
      <x:c r="V340" s="2" t="n">
        <x:f>IF(A340&lt;DATE(2025,12,1),"",ABS(T340-F340))</x:f>
        <x:v>2</x:v>
      </x:c>
      <x:c r="W340" s="2" t="n">
        <x:f>IF(A340&lt;DATE(2025,12,1),"",ABS(U340-F340))</x:f>
        <x:v>0</x:v>
      </x:c>
      <x:c r="X340" s="2" t="n">
        <x:f>IF(A340&lt;DATE(2025,12,1),"",T340-F340)</x:f>
        <x:v>-2</x:v>
      </x:c>
      <x:c r="Y340" s="2" t="n">
        <x:f>IF(A340&lt;DATE(2025,12,1),"",U340-F340)</x:f>
        <x:v>0</x:v>
      </x:c>
      <x:c r="Z340" s="2" t="n">
        <x:f>IF(N340&gt;0,1,0)</x:f>
        <x:v>0</x:v>
      </x:c>
    </x:row>
    <x:row r="341" ht="21" customHeight="1">
      <x:c r="A341" s="6" t="n">
        <x:f>'Daily inputs'!A341</x:f>
        <x:v>46018</x:v>
      </x:c>
      <x:c r="B341" s="2" t="str">
        <x:f>'Daily inputs'!B341</x:f>
        <x:v>I04</x:v>
      </x:c>
      <x:c r="C341" s="2" t="n">
        <x:f>'Daily inputs'!C341</x:f>
        <x:v>6</x:v>
      </x:c>
      <x:c r="D341" s="2" t="str">
        <x:f>'Daily inputs'!D341</x:f>
        <x:v>December normal</x:v>
      </x:c>
      <x:c r="E341" s="7" t="n">
        <x:f>'Daily inputs'!E341</x:f>
        <x:v>9</x:v>
      </x:c>
      <x:c r="F341" s="2" t="n">
        <x:f>'Daily inputs'!F341</x:f>
        <x:v>55</x:v>
      </x:c>
      <x:c r="G341" s="2" t="n">
        <x:f>'Daily inputs'!G341</x:f>
        <x:v>9</x:v>
      </x:c>
      <x:c r="H341" s="2" t="n">
        <x:f>'Daily inputs'!H341</x:f>
        <x:v>54</x:v>
      </x:c>
      <x:c r="I341" s="2" t="n">
        <x:f>'Daily inputs'!I341</x:f>
        <x:v>0</x:v>
      </x:c>
      <x:c r="J341" s="2" t="n">
        <x:f>'Daily inputs'!J341</x:f>
        <x:v>0</x:v>
      </x:c>
      <x:c r="K341" s="2" t="n">
        <x:f>'Daily inputs'!K341</x:f>
        <x:v>0</x:v>
      </x:c>
      <x:c r="L341" s="2" t="n">
        <x:f>MIN(F341,G341+H341-I341)</x:f>
        <x:v>55</x:v>
      </x:c>
      <x:c r="M341" s="2" t="n">
        <x:f>G341+H341-L341-I341</x:f>
        <x:v>8</x:v>
      </x:c>
      <x:c r="N341" s="2" t="n">
        <x:f>F341-L341</x:f>
        <x:v>0</x:v>
      </x:c>
      <x:c r="O341" s="2" t="n">
        <x:f>N341-J341</x:f>
        <x:v>0</x:v>
      </x:c>
      <x:c r="P341" s="2" t="n">
        <x:f>L341+I341</x:f>
        <x:v>55</x:v>
      </x:c>
      <x:c r="Q341" s="8" t="n">
        <x:f>P341*E341</x:f>
        <x:v>495</x:v>
      </x:c>
      <x:c r="R341" s="8" t="n">
        <x:f>I341*E341</x:f>
        <x:v>0</x:v>
      </x:c>
      <x:c r="S341" s="8" t="n">
        <x:f>O341*E341</x:f>
        <x:v>0</x:v>
      </x:c>
      <x:c r="T341" s="2" t="n">
        <x:f>IF(A341&lt;DATE(2025,12,1),"",IF(D341="Closed",0,ROUND(AVERAGEIFS('Daily inputs'!$F$2:$F$367,'Daily inputs'!$B$2:$B$367,B341,'Daily inputs'!$C$2:$C$367,C341,'Daily inputs'!$D$2:$D$367,"Training"),0)))</x:f>
        <x:v>52</x:v>
      </x:c>
      <x:c r="U341" s="2" t="n">
        <x:f>IF(A341&lt;DATE(2025,12,1),"",ROUND(T341*IF(D341="Christmas",Notes!$B$9,Notes!$B$8),0))</x:f>
        <x:v>54</x:v>
      </x:c>
      <x:c r="V341" s="2" t="n">
        <x:f>IF(A341&lt;DATE(2025,12,1),"",ABS(T341-F341))</x:f>
        <x:v>3</x:v>
      </x:c>
      <x:c r="W341" s="2" t="n">
        <x:f>IF(A341&lt;DATE(2025,12,1),"",ABS(U341-F341))</x:f>
        <x:v>1</x:v>
      </x:c>
      <x:c r="X341" s="2" t="n">
        <x:f>IF(A341&lt;DATE(2025,12,1),"",T341-F341)</x:f>
        <x:v>-3</x:v>
      </x:c>
      <x:c r="Y341" s="2" t="n">
        <x:f>IF(A341&lt;DATE(2025,12,1),"",U341-F341)</x:f>
        <x:v>-1</x:v>
      </x:c>
      <x:c r="Z341" s="2" t="n">
        <x:f>IF(N341&gt;0,1,0)</x:f>
        <x:v>0</x:v>
      </x:c>
    </x:row>
    <x:row r="342" ht="21" customHeight="1">
      <x:c r="A342" s="6" t="n">
        <x:f>'Daily inputs'!A342</x:f>
        <x:v>46018</x:v>
      </x:c>
      <x:c r="B342" s="2" t="str">
        <x:f>'Daily inputs'!B342</x:f>
        <x:v>I05</x:v>
      </x:c>
      <x:c r="C342" s="2" t="n">
        <x:f>'Daily inputs'!C342</x:f>
        <x:v>6</x:v>
      </x:c>
      <x:c r="D342" s="2" t="str">
        <x:f>'Daily inputs'!D342</x:f>
        <x:v>December normal</x:v>
      </x:c>
      <x:c r="E342" s="7" t="n">
        <x:f>'Daily inputs'!E342</x:f>
        <x:v>3.5</x:v>
      </x:c>
      <x:c r="F342" s="2" t="n">
        <x:f>'Daily inputs'!F342</x:f>
        <x:v>113</x:v>
      </x:c>
      <x:c r="G342" s="2" t="n">
        <x:f>'Daily inputs'!G342</x:f>
        <x:v>17</x:v>
      </x:c>
      <x:c r="H342" s="2" t="n">
        <x:f>'Daily inputs'!H342</x:f>
        <x:v>113</x:v>
      </x:c>
      <x:c r="I342" s="2" t="n">
        <x:f>'Daily inputs'!I342</x:f>
        <x:v>0</x:v>
      </x:c>
      <x:c r="J342" s="2" t="n">
        <x:f>'Daily inputs'!J342</x:f>
        <x:v>0</x:v>
      </x:c>
      <x:c r="K342" s="2" t="n">
        <x:f>'Daily inputs'!K342</x:f>
        <x:v>0</x:v>
      </x:c>
      <x:c r="L342" s="2" t="n">
        <x:f>MIN(F342,G342+H342-I342)</x:f>
        <x:v>113</x:v>
      </x:c>
      <x:c r="M342" s="2" t="n">
        <x:f>G342+H342-L342-I342</x:f>
        <x:v>17</x:v>
      </x:c>
      <x:c r="N342" s="2" t="n">
        <x:f>F342-L342</x:f>
        <x:v>0</x:v>
      </x:c>
      <x:c r="O342" s="2" t="n">
        <x:f>N342-J342</x:f>
        <x:v>0</x:v>
      </x:c>
      <x:c r="P342" s="2" t="n">
        <x:f>L342+I342</x:f>
        <x:v>113</x:v>
      </x:c>
      <x:c r="Q342" s="8" t="n">
        <x:f>P342*E342</x:f>
        <x:v>395.5</x:v>
      </x:c>
      <x:c r="R342" s="8" t="n">
        <x:f>I342*E342</x:f>
        <x:v>0</x:v>
      </x:c>
      <x:c r="S342" s="8" t="n">
        <x:f>O342*E342</x:f>
        <x:v>0</x:v>
      </x:c>
      <x:c r="T342" s="2" t="n">
        <x:f>IF(A342&lt;DATE(2025,12,1),"",IF(D342="Closed",0,ROUND(AVERAGEIFS('Daily inputs'!$F$2:$F$367,'Daily inputs'!$B$2:$B$367,B342,'Daily inputs'!$C$2:$C$367,C342,'Daily inputs'!$D$2:$D$367,"Training"),0)))</x:f>
        <x:v>106</x:v>
      </x:c>
      <x:c r="U342" s="2" t="n">
        <x:f>IF(A342&lt;DATE(2025,12,1),"",ROUND(T342*IF(D342="Christmas",Notes!$B$9,Notes!$B$8),0))</x:f>
        <x:v>110</x:v>
      </x:c>
      <x:c r="V342" s="2" t="n">
        <x:f>IF(A342&lt;DATE(2025,12,1),"",ABS(T342-F342))</x:f>
        <x:v>7</x:v>
      </x:c>
      <x:c r="W342" s="2" t="n">
        <x:f>IF(A342&lt;DATE(2025,12,1),"",ABS(U342-F342))</x:f>
        <x:v>3</x:v>
      </x:c>
      <x:c r="X342" s="2" t="n">
        <x:f>IF(A342&lt;DATE(2025,12,1),"",T342-F342)</x:f>
        <x:v>-7</x:v>
      </x:c>
      <x:c r="Y342" s="2" t="n">
        <x:f>IF(A342&lt;DATE(2025,12,1),"",U342-F342)</x:f>
        <x:v>-3</x:v>
      </x:c>
      <x:c r="Z342" s="2" t="n">
        <x:f>IF(N342&gt;0,1,0)</x:f>
        <x:v>0</x:v>
      </x:c>
    </x:row>
    <x:row r="343" ht="21" customHeight="1">
      <x:c r="A343" s="6" t="n">
        <x:f>'Daily inputs'!A343</x:f>
        <x:v>46018</x:v>
      </x:c>
      <x:c r="B343" s="2" t="str">
        <x:f>'Daily inputs'!B343</x:f>
        <x:v>I06</x:v>
      </x:c>
      <x:c r="C343" s="2" t="n">
        <x:f>'Daily inputs'!C343</x:f>
        <x:v>6</x:v>
      </x:c>
      <x:c r="D343" s="2" t="str">
        <x:f>'Daily inputs'!D343</x:f>
        <x:v>December normal</x:v>
      </x:c>
      <x:c r="E343" s="7" t="n">
        <x:f>'Daily inputs'!E343</x:f>
        <x:v>3</x:v>
      </x:c>
      <x:c r="F343" s="2" t="n">
        <x:f>'Daily inputs'!F343</x:f>
        <x:v>42</x:v>
      </x:c>
      <x:c r="G343" s="2" t="n">
        <x:f>'Daily inputs'!G343</x:f>
        <x:v>7</x:v>
      </x:c>
      <x:c r="H343" s="2" t="n">
        <x:f>'Daily inputs'!H343</x:f>
        <x:v>41</x:v>
      </x:c>
      <x:c r="I343" s="2" t="n">
        <x:f>'Daily inputs'!I343</x:f>
        <x:v>0</x:v>
      </x:c>
      <x:c r="J343" s="2" t="n">
        <x:f>'Daily inputs'!J343</x:f>
        <x:v>0</x:v>
      </x:c>
      <x:c r="K343" s="2" t="n">
        <x:f>'Daily inputs'!K343</x:f>
        <x:v>0</x:v>
      </x:c>
      <x:c r="L343" s="2" t="n">
        <x:f>MIN(F343,G343+H343-I343)</x:f>
        <x:v>42</x:v>
      </x:c>
      <x:c r="M343" s="2" t="n">
        <x:f>G343+H343-L343-I343</x:f>
        <x:v>6</x:v>
      </x:c>
      <x:c r="N343" s="2" t="n">
        <x:f>F343-L343</x:f>
        <x:v>0</x:v>
      </x:c>
      <x:c r="O343" s="2" t="n">
        <x:f>N343-J343</x:f>
        <x:v>0</x:v>
      </x:c>
      <x:c r="P343" s="2" t="n">
        <x:f>L343+I343</x:f>
        <x:v>42</x:v>
      </x:c>
      <x:c r="Q343" s="8" t="n">
        <x:f>P343*E343</x:f>
        <x:v>126</x:v>
      </x:c>
      <x:c r="R343" s="8" t="n">
        <x:f>I343*E343</x:f>
        <x:v>0</x:v>
      </x:c>
      <x:c r="S343" s="8" t="n">
        <x:f>O343*E343</x:f>
        <x:v>0</x:v>
      </x:c>
      <x:c r="T343" s="2" t="n">
        <x:f>IF(A343&lt;DATE(2025,12,1),"",IF(D343="Closed",0,ROUND(AVERAGEIFS('Daily inputs'!$F$2:$F$367,'Daily inputs'!$B$2:$B$367,B343,'Daily inputs'!$C$2:$C$367,C343,'Daily inputs'!$D$2:$D$367,"Training"),0)))</x:f>
        <x:v>39</x:v>
      </x:c>
      <x:c r="U343" s="2" t="n">
        <x:f>IF(A343&lt;DATE(2025,12,1),"",ROUND(T343*IF(D343="Christmas",Notes!$B$9,Notes!$B$8),0))</x:f>
        <x:v>41</x:v>
      </x:c>
      <x:c r="V343" s="2" t="n">
        <x:f>IF(A343&lt;DATE(2025,12,1),"",ABS(T343-F343))</x:f>
        <x:v>3</x:v>
      </x:c>
      <x:c r="W343" s="2" t="n">
        <x:f>IF(A343&lt;DATE(2025,12,1),"",ABS(U343-F343))</x:f>
        <x:v>1</x:v>
      </x:c>
      <x:c r="X343" s="2" t="n">
        <x:f>IF(A343&lt;DATE(2025,12,1),"",T343-F343)</x:f>
        <x:v>-3</x:v>
      </x:c>
      <x:c r="Y343" s="2" t="n">
        <x:f>IF(A343&lt;DATE(2025,12,1),"",U343-F343)</x:f>
        <x:v>-1</x:v>
      </x:c>
      <x:c r="Z343" s="2" t="n">
        <x:f>IF(N343&gt;0,1,0)</x:f>
        <x:v>0</x:v>
      </x:c>
    </x:row>
    <x:row r="344" ht="21" customHeight="1">
      <x:c r="A344" s="6" t="n">
        <x:f>'Daily inputs'!A344</x:f>
        <x:v>46019</x:v>
      </x:c>
      <x:c r="B344" s="2" t="str">
        <x:f>'Daily inputs'!B344</x:f>
        <x:v>I01</x:v>
      </x:c>
      <x:c r="C344" s="2" t="n">
        <x:f>'Daily inputs'!C344</x:f>
        <x:v>7</x:v>
      </x:c>
      <x:c r="D344" s="2" t="str">
        <x:f>'Daily inputs'!D344</x:f>
        <x:v>December normal</x:v>
      </x:c>
      <x:c r="E344" s="7" t="n">
        <x:f>'Daily inputs'!E344</x:f>
        <x:v>8.5</x:v>
      </x:c>
      <x:c r="F344" s="2" t="n">
        <x:f>'Daily inputs'!F344</x:f>
        <x:v>82</x:v>
      </x:c>
      <x:c r="G344" s="2" t="n">
        <x:f>'Daily inputs'!G344</x:f>
        <x:v>15</x:v>
      </x:c>
      <x:c r="H344" s="2" t="n">
        <x:f>'Daily inputs'!H344</x:f>
        <x:v>79</x:v>
      </x:c>
      <x:c r="I344" s="2" t="n">
        <x:f>'Daily inputs'!I344</x:f>
        <x:v>0</x:v>
      </x:c>
      <x:c r="J344" s="2" t="n">
        <x:f>'Daily inputs'!J344</x:f>
        <x:v>0</x:v>
      </x:c>
      <x:c r="K344" s="2" t="n">
        <x:f>'Daily inputs'!K344</x:f>
        <x:v>0</x:v>
      </x:c>
      <x:c r="L344" s="2" t="n">
        <x:f>MIN(F344,G344+H344-I344)</x:f>
        <x:v>82</x:v>
      </x:c>
      <x:c r="M344" s="2" t="n">
        <x:f>G344+H344-L344-I344</x:f>
        <x:v>12</x:v>
      </x:c>
      <x:c r="N344" s="2" t="n">
        <x:f>F344-L344</x:f>
        <x:v>0</x:v>
      </x:c>
      <x:c r="O344" s="2" t="n">
        <x:f>N344-J344</x:f>
        <x:v>0</x:v>
      </x:c>
      <x:c r="P344" s="2" t="n">
        <x:f>L344+I344</x:f>
        <x:v>82</x:v>
      </x:c>
      <x:c r="Q344" s="8" t="n">
        <x:f>P344*E344</x:f>
        <x:v>697</x:v>
      </x:c>
      <x:c r="R344" s="8" t="n">
        <x:f>I344*E344</x:f>
        <x:v>0</x:v>
      </x:c>
      <x:c r="S344" s="8" t="n">
        <x:f>O344*E344</x:f>
        <x:v>0</x:v>
      </x:c>
      <x:c r="T344" s="2" t="n">
        <x:f>IF(A344&lt;DATE(2025,12,1),"",IF(D344="Closed",0,ROUND(AVERAGEIFS('Daily inputs'!$F$2:$F$367,'Daily inputs'!$B$2:$B$367,B344,'Daily inputs'!$C$2:$C$367,C344,'Daily inputs'!$D$2:$D$367,"Training"),0)))</x:f>
        <x:v>80</x:v>
      </x:c>
      <x:c r="U344" s="2" t="n">
        <x:f>IF(A344&lt;DATE(2025,12,1),"",ROUND(T344*IF(D344="Christmas",Notes!$B$9,Notes!$B$8),0))</x:f>
        <x:v>83</x:v>
      </x:c>
      <x:c r="V344" s="2" t="n">
        <x:f>IF(A344&lt;DATE(2025,12,1),"",ABS(T344-F344))</x:f>
        <x:v>2</x:v>
      </x:c>
      <x:c r="W344" s="2" t="n">
        <x:f>IF(A344&lt;DATE(2025,12,1),"",ABS(U344-F344))</x:f>
        <x:v>1</x:v>
      </x:c>
      <x:c r="X344" s="2" t="n">
        <x:f>IF(A344&lt;DATE(2025,12,1),"",T344-F344)</x:f>
        <x:v>-2</x:v>
      </x:c>
      <x:c r="Y344" s="2" t="n">
        <x:f>IF(A344&lt;DATE(2025,12,1),"",U344-F344)</x:f>
        <x:v>1</x:v>
      </x:c>
      <x:c r="Z344" s="2" t="n">
        <x:f>IF(N344&gt;0,1,0)</x:f>
        <x:v>0</x:v>
      </x:c>
    </x:row>
    <x:row r="345" ht="21" customHeight="1">
      <x:c r="A345" s="6" t="n">
        <x:f>'Daily inputs'!A345</x:f>
        <x:v>46019</x:v>
      </x:c>
      <x:c r="B345" s="2" t="str">
        <x:f>'Daily inputs'!B345</x:f>
        <x:v>I02</x:v>
      </x:c>
      <x:c r="C345" s="2" t="n">
        <x:f>'Daily inputs'!C345</x:f>
        <x:v>7</x:v>
      </x:c>
      <x:c r="D345" s="2" t="str">
        <x:f>'Daily inputs'!D345</x:f>
        <x:v>December normal</x:v>
      </x:c>
      <x:c r="E345" s="7" t="n">
        <x:f>'Daily inputs'!E345</x:f>
        <x:v>8</x:v>
      </x:c>
      <x:c r="F345" s="2" t="n">
        <x:f>'Daily inputs'!F345</x:f>
        <x:v>70</x:v>
      </x:c>
      <x:c r="G345" s="2" t="n">
        <x:f>'Daily inputs'!G345</x:f>
        <x:v>12</x:v>
      </x:c>
      <x:c r="H345" s="2" t="n">
        <x:f>'Daily inputs'!H345</x:f>
        <x:v>69</x:v>
      </x:c>
      <x:c r="I345" s="2" t="n">
        <x:f>'Daily inputs'!I345</x:f>
        <x:v>0</x:v>
      </x:c>
      <x:c r="J345" s="2" t="n">
        <x:f>'Daily inputs'!J345</x:f>
        <x:v>0</x:v>
      </x:c>
      <x:c r="K345" s="2" t="n">
        <x:f>'Daily inputs'!K345</x:f>
        <x:v>0</x:v>
      </x:c>
      <x:c r="L345" s="2" t="n">
        <x:f>MIN(F345,G345+H345-I345)</x:f>
        <x:v>70</x:v>
      </x:c>
      <x:c r="M345" s="2" t="n">
        <x:f>G345+H345-L345-I345</x:f>
        <x:v>11</x:v>
      </x:c>
      <x:c r="N345" s="2" t="n">
        <x:f>F345-L345</x:f>
        <x:v>0</x:v>
      </x:c>
      <x:c r="O345" s="2" t="n">
        <x:f>N345-J345</x:f>
        <x:v>0</x:v>
      </x:c>
      <x:c r="P345" s="2" t="n">
        <x:f>L345+I345</x:f>
        <x:v>70</x:v>
      </x:c>
      <x:c r="Q345" s="8" t="n">
        <x:f>P345*E345</x:f>
        <x:v>560</x:v>
      </x:c>
      <x:c r="R345" s="8" t="n">
        <x:f>I345*E345</x:f>
        <x:v>0</x:v>
      </x:c>
      <x:c r="S345" s="8" t="n">
        <x:f>O345*E345</x:f>
        <x:v>0</x:v>
      </x:c>
      <x:c r="T345" s="2" t="n">
        <x:f>IF(A345&lt;DATE(2025,12,1),"",IF(D345="Closed",0,ROUND(AVERAGEIFS('Daily inputs'!$F$2:$F$367,'Daily inputs'!$B$2:$B$367,B345,'Daily inputs'!$C$2:$C$367,C345,'Daily inputs'!$D$2:$D$367,"Training"),0)))</x:f>
        <x:v>64</x:v>
      </x:c>
      <x:c r="U345" s="2" t="n">
        <x:f>IF(A345&lt;DATE(2025,12,1),"",ROUND(T345*IF(D345="Christmas",Notes!$B$9,Notes!$B$8),0))</x:f>
        <x:v>67</x:v>
      </x:c>
      <x:c r="V345" s="2" t="n">
        <x:f>IF(A345&lt;DATE(2025,12,1),"",ABS(T345-F345))</x:f>
        <x:v>6</x:v>
      </x:c>
      <x:c r="W345" s="2" t="n">
        <x:f>IF(A345&lt;DATE(2025,12,1),"",ABS(U345-F345))</x:f>
        <x:v>3</x:v>
      </x:c>
      <x:c r="X345" s="2" t="n">
        <x:f>IF(A345&lt;DATE(2025,12,1),"",T345-F345)</x:f>
        <x:v>-6</x:v>
      </x:c>
      <x:c r="Y345" s="2" t="n">
        <x:f>IF(A345&lt;DATE(2025,12,1),"",U345-F345)</x:f>
        <x:v>-3</x:v>
      </x:c>
      <x:c r="Z345" s="2" t="n">
        <x:f>IF(N345&gt;0,1,0)</x:f>
        <x:v>0</x:v>
      </x:c>
    </x:row>
    <x:row r="346" ht="21" customHeight="1">
      <x:c r="A346" s="6" t="n">
        <x:f>'Daily inputs'!A346</x:f>
        <x:v>46019</x:v>
      </x:c>
      <x:c r="B346" s="2" t="str">
        <x:f>'Daily inputs'!B346</x:f>
        <x:v>I03</x:v>
      </x:c>
      <x:c r="C346" s="2" t="n">
        <x:f>'Daily inputs'!C346</x:f>
        <x:v>7</x:v>
      </x:c>
      <x:c r="D346" s="2" t="str">
        <x:f>'Daily inputs'!D346</x:f>
        <x:v>December normal</x:v>
      </x:c>
      <x:c r="E346" s="7" t="n">
        <x:f>'Daily inputs'!E346</x:f>
        <x:v>7.5</x:v>
      </x:c>
      <x:c r="F346" s="2" t="n">
        <x:f>'Daily inputs'!F346</x:f>
        <x:v>39</x:v>
      </x:c>
      <x:c r="G346" s="2" t="n">
        <x:f>'Daily inputs'!G346</x:f>
        <x:v>7</x:v>
      </x:c>
      <x:c r="H346" s="2" t="n">
        <x:f>'Daily inputs'!H346</x:f>
        <x:v>38</x:v>
      </x:c>
      <x:c r="I346" s="2" t="n">
        <x:f>'Daily inputs'!I346</x:f>
        <x:v>0</x:v>
      </x:c>
      <x:c r="J346" s="2" t="n">
        <x:f>'Daily inputs'!J346</x:f>
        <x:v>0</x:v>
      </x:c>
      <x:c r="K346" s="2" t="n">
        <x:f>'Daily inputs'!K346</x:f>
        <x:v>0</x:v>
      </x:c>
      <x:c r="L346" s="2" t="n">
        <x:f>MIN(F346,G346+H346-I346)</x:f>
        <x:v>39</x:v>
      </x:c>
      <x:c r="M346" s="2" t="n">
        <x:f>G346+H346-L346-I346</x:f>
        <x:v>6</x:v>
      </x:c>
      <x:c r="N346" s="2" t="n">
        <x:f>F346-L346</x:f>
        <x:v>0</x:v>
      </x:c>
      <x:c r="O346" s="2" t="n">
        <x:f>N346-J346</x:f>
        <x:v>0</x:v>
      </x:c>
      <x:c r="P346" s="2" t="n">
        <x:f>L346+I346</x:f>
        <x:v>39</x:v>
      </x:c>
      <x:c r="Q346" s="8" t="n">
        <x:f>P346*E346</x:f>
        <x:v>292.5</x:v>
      </x:c>
      <x:c r="R346" s="8" t="n">
        <x:f>I346*E346</x:f>
        <x:v>0</x:v>
      </x:c>
      <x:c r="S346" s="8" t="n">
        <x:f>O346*E346</x:f>
        <x:v>0</x:v>
      </x:c>
      <x:c r="T346" s="2" t="n">
        <x:f>IF(A346&lt;DATE(2025,12,1),"",IF(D346="Closed",0,ROUND(AVERAGEIFS('Daily inputs'!$F$2:$F$367,'Daily inputs'!$B$2:$B$367,B346,'Daily inputs'!$C$2:$C$367,C346,'Daily inputs'!$D$2:$D$367,"Training"),0)))</x:f>
        <x:v>38</x:v>
      </x:c>
      <x:c r="U346" s="2" t="n">
        <x:f>IF(A346&lt;DATE(2025,12,1),"",ROUND(T346*IF(D346="Christmas",Notes!$B$9,Notes!$B$8),0))</x:f>
        <x:v>40</x:v>
      </x:c>
      <x:c r="V346" s="2" t="n">
        <x:f>IF(A346&lt;DATE(2025,12,1),"",ABS(T346-F346))</x:f>
        <x:v>1</x:v>
      </x:c>
      <x:c r="W346" s="2" t="n">
        <x:f>IF(A346&lt;DATE(2025,12,1),"",ABS(U346-F346))</x:f>
        <x:v>1</x:v>
      </x:c>
      <x:c r="X346" s="2" t="n">
        <x:f>IF(A346&lt;DATE(2025,12,1),"",T346-F346)</x:f>
        <x:v>-1</x:v>
      </x:c>
      <x:c r="Y346" s="2" t="n">
        <x:f>IF(A346&lt;DATE(2025,12,1),"",U346-F346)</x:f>
        <x:v>1</x:v>
      </x:c>
      <x:c r="Z346" s="2" t="n">
        <x:f>IF(N346&gt;0,1,0)</x:f>
        <x:v>0</x:v>
      </x:c>
    </x:row>
    <x:row r="347" ht="21" customHeight="1">
      <x:c r="A347" s="6" t="n">
        <x:f>'Daily inputs'!A347</x:f>
        <x:v>46019</x:v>
      </x:c>
      <x:c r="B347" s="2" t="str">
        <x:f>'Daily inputs'!B347</x:f>
        <x:v>I04</x:v>
      </x:c>
      <x:c r="C347" s="2" t="n">
        <x:f>'Daily inputs'!C347</x:f>
        <x:v>7</x:v>
      </x:c>
      <x:c r="D347" s="2" t="str">
        <x:f>'Daily inputs'!D347</x:f>
        <x:v>December normal</x:v>
      </x:c>
      <x:c r="E347" s="7" t="n">
        <x:f>'Daily inputs'!E347</x:f>
        <x:v>9</x:v>
      </x:c>
      <x:c r="F347" s="2" t="n">
        <x:f>'Daily inputs'!F347</x:f>
        <x:v>44</x:v>
      </x:c>
      <x:c r="G347" s="2" t="n">
        <x:f>'Daily inputs'!G347</x:f>
        <x:v>8</x:v>
      </x:c>
      <x:c r="H347" s="2" t="n">
        <x:f>'Daily inputs'!H347</x:f>
        <x:v>43</x:v>
      </x:c>
      <x:c r="I347" s="2" t="n">
        <x:f>'Daily inputs'!I347</x:f>
        <x:v>0</x:v>
      </x:c>
      <x:c r="J347" s="2" t="n">
        <x:f>'Daily inputs'!J347</x:f>
        <x:v>0</x:v>
      </x:c>
      <x:c r="K347" s="2" t="n">
        <x:f>'Daily inputs'!K347</x:f>
        <x:v>0</x:v>
      </x:c>
      <x:c r="L347" s="2" t="n">
        <x:f>MIN(F347,G347+H347-I347)</x:f>
        <x:v>44</x:v>
      </x:c>
      <x:c r="M347" s="2" t="n">
        <x:f>G347+H347-L347-I347</x:f>
        <x:v>7</x:v>
      </x:c>
      <x:c r="N347" s="2" t="n">
        <x:f>F347-L347</x:f>
        <x:v>0</x:v>
      </x:c>
      <x:c r="O347" s="2" t="n">
        <x:f>N347-J347</x:f>
        <x:v>0</x:v>
      </x:c>
      <x:c r="P347" s="2" t="n">
        <x:f>L347+I347</x:f>
        <x:v>44</x:v>
      </x:c>
      <x:c r="Q347" s="8" t="n">
        <x:f>P347*E347</x:f>
        <x:v>396</x:v>
      </x:c>
      <x:c r="R347" s="8" t="n">
        <x:f>I347*E347</x:f>
        <x:v>0</x:v>
      </x:c>
      <x:c r="S347" s="8" t="n">
        <x:f>O347*E347</x:f>
        <x:v>0</x:v>
      </x:c>
      <x:c r="T347" s="2" t="n">
        <x:f>IF(A347&lt;DATE(2025,12,1),"",IF(D347="Closed",0,ROUND(AVERAGEIFS('Daily inputs'!$F$2:$F$367,'Daily inputs'!$B$2:$B$367,B347,'Daily inputs'!$C$2:$C$367,C347,'Daily inputs'!$D$2:$D$367,"Training"),0)))</x:f>
        <x:v>44</x:v>
      </x:c>
      <x:c r="U347" s="2" t="n">
        <x:f>IF(A347&lt;DATE(2025,12,1),"",ROUND(T347*IF(D347="Christmas",Notes!$B$9,Notes!$B$8),0))</x:f>
        <x:v>46</x:v>
      </x:c>
      <x:c r="V347" s="2" t="n">
        <x:f>IF(A347&lt;DATE(2025,12,1),"",ABS(T347-F347))</x:f>
        <x:v>0</x:v>
      </x:c>
      <x:c r="W347" s="2" t="n">
        <x:f>IF(A347&lt;DATE(2025,12,1),"",ABS(U347-F347))</x:f>
        <x:v>2</x:v>
      </x:c>
      <x:c r="X347" s="2" t="n">
        <x:f>IF(A347&lt;DATE(2025,12,1),"",T347-F347)</x:f>
        <x:v>0</x:v>
      </x:c>
      <x:c r="Y347" s="2" t="n">
        <x:f>IF(A347&lt;DATE(2025,12,1),"",U347-F347)</x:f>
        <x:v>2</x:v>
      </x:c>
      <x:c r="Z347" s="2" t="n">
        <x:f>IF(N347&gt;0,1,0)</x:f>
        <x:v>0</x:v>
      </x:c>
    </x:row>
    <x:row r="348" ht="21" customHeight="1">
      <x:c r="A348" s="6" t="n">
        <x:f>'Daily inputs'!A348</x:f>
        <x:v>46019</x:v>
      </x:c>
      <x:c r="B348" s="2" t="str">
        <x:f>'Daily inputs'!B348</x:f>
        <x:v>I05</x:v>
      </x:c>
      <x:c r="C348" s="2" t="n">
        <x:f>'Daily inputs'!C348</x:f>
        <x:v>7</x:v>
      </x:c>
      <x:c r="D348" s="2" t="str">
        <x:f>'Daily inputs'!D348</x:f>
        <x:v>December normal</x:v>
      </x:c>
      <x:c r="E348" s="7" t="n">
        <x:f>'Daily inputs'!E348</x:f>
        <x:v>3.5</x:v>
      </x:c>
      <x:c r="F348" s="2" t="n">
        <x:f>'Daily inputs'!F348</x:f>
        <x:v>97</x:v>
      </x:c>
      <x:c r="G348" s="2" t="n">
        <x:f>'Daily inputs'!G348</x:f>
        <x:v>17</x:v>
      </x:c>
      <x:c r="H348" s="2" t="n">
        <x:f>'Daily inputs'!H348</x:f>
        <x:v>95</x:v>
      </x:c>
      <x:c r="I348" s="2" t="n">
        <x:f>'Daily inputs'!I348</x:f>
        <x:v>0</x:v>
      </x:c>
      <x:c r="J348" s="2" t="n">
        <x:f>'Daily inputs'!J348</x:f>
        <x:v>0</x:v>
      </x:c>
      <x:c r="K348" s="2" t="n">
        <x:f>'Daily inputs'!K348</x:f>
        <x:v>0</x:v>
      </x:c>
      <x:c r="L348" s="2" t="n">
        <x:f>MIN(F348,G348+H348-I348)</x:f>
        <x:v>97</x:v>
      </x:c>
      <x:c r="M348" s="2" t="n">
        <x:f>G348+H348-L348-I348</x:f>
        <x:v>15</x:v>
      </x:c>
      <x:c r="N348" s="2" t="n">
        <x:f>F348-L348</x:f>
        <x:v>0</x:v>
      </x:c>
      <x:c r="O348" s="2" t="n">
        <x:f>N348-J348</x:f>
        <x:v>0</x:v>
      </x:c>
      <x:c r="P348" s="2" t="n">
        <x:f>L348+I348</x:f>
        <x:v>97</x:v>
      </x:c>
      <x:c r="Q348" s="8" t="n">
        <x:f>P348*E348</x:f>
        <x:v>339.5</x:v>
      </x:c>
      <x:c r="R348" s="8" t="n">
        <x:f>I348*E348</x:f>
        <x:v>0</x:v>
      </x:c>
      <x:c r="S348" s="8" t="n">
        <x:f>O348*E348</x:f>
        <x:v>0</x:v>
      </x:c>
      <x:c r="T348" s="2" t="n">
        <x:f>IF(A348&lt;DATE(2025,12,1),"",IF(D348="Closed",0,ROUND(AVERAGEIFS('Daily inputs'!$F$2:$F$367,'Daily inputs'!$B$2:$B$367,B348,'Daily inputs'!$C$2:$C$367,C348,'Daily inputs'!$D$2:$D$367,"Training"),0)))</x:f>
        <x:v>89</x:v>
      </x:c>
      <x:c r="U348" s="2" t="n">
        <x:f>IF(A348&lt;DATE(2025,12,1),"",ROUND(T348*IF(D348="Christmas",Notes!$B$9,Notes!$B$8),0))</x:f>
        <x:v>93</x:v>
      </x:c>
      <x:c r="V348" s="2" t="n">
        <x:f>IF(A348&lt;DATE(2025,12,1),"",ABS(T348-F348))</x:f>
        <x:v>8</x:v>
      </x:c>
      <x:c r="W348" s="2" t="n">
        <x:f>IF(A348&lt;DATE(2025,12,1),"",ABS(U348-F348))</x:f>
        <x:v>4</x:v>
      </x:c>
      <x:c r="X348" s="2" t="n">
        <x:f>IF(A348&lt;DATE(2025,12,1),"",T348-F348)</x:f>
        <x:v>-8</x:v>
      </x:c>
      <x:c r="Y348" s="2" t="n">
        <x:f>IF(A348&lt;DATE(2025,12,1),"",U348-F348)</x:f>
        <x:v>-4</x:v>
      </x:c>
      <x:c r="Z348" s="2" t="n">
        <x:f>IF(N348&gt;0,1,0)</x:f>
        <x:v>0</x:v>
      </x:c>
    </x:row>
    <x:row r="349" ht="21" customHeight="1">
      <x:c r="A349" s="6" t="n">
        <x:f>'Daily inputs'!A349</x:f>
        <x:v>46019</x:v>
      </x:c>
      <x:c r="B349" s="2" t="str">
        <x:f>'Daily inputs'!B349</x:f>
        <x:v>I06</x:v>
      </x:c>
      <x:c r="C349" s="2" t="n">
        <x:f>'Daily inputs'!C349</x:f>
        <x:v>7</x:v>
      </x:c>
      <x:c r="D349" s="2" t="str">
        <x:f>'Daily inputs'!D349</x:f>
        <x:v>December normal</x:v>
      </x:c>
      <x:c r="E349" s="7" t="n">
        <x:f>'Daily inputs'!E349</x:f>
        <x:v>3</x:v>
      </x:c>
      <x:c r="F349" s="2" t="n">
        <x:f>'Daily inputs'!F349</x:f>
        <x:v>35</x:v>
      </x:c>
      <x:c r="G349" s="2" t="n">
        <x:f>'Daily inputs'!G349</x:f>
        <x:v>6</x:v>
      </x:c>
      <x:c r="H349" s="2" t="n">
        <x:f>'Daily inputs'!H349</x:f>
        <x:v>34</x:v>
      </x:c>
      <x:c r="I349" s="2" t="n">
        <x:f>'Daily inputs'!I349</x:f>
        <x:v>0</x:v>
      </x:c>
      <x:c r="J349" s="2" t="n">
        <x:f>'Daily inputs'!J349</x:f>
        <x:v>0</x:v>
      </x:c>
      <x:c r="K349" s="2" t="n">
        <x:f>'Daily inputs'!K349</x:f>
        <x:v>0</x:v>
      </x:c>
      <x:c r="L349" s="2" t="n">
        <x:f>MIN(F349,G349+H349-I349)</x:f>
        <x:v>35</x:v>
      </x:c>
      <x:c r="M349" s="2" t="n">
        <x:f>G349+H349-L349-I349</x:f>
        <x:v>5</x:v>
      </x:c>
      <x:c r="N349" s="2" t="n">
        <x:f>F349-L349</x:f>
        <x:v>0</x:v>
      </x:c>
      <x:c r="O349" s="2" t="n">
        <x:f>N349-J349</x:f>
        <x:v>0</x:v>
      </x:c>
      <x:c r="P349" s="2" t="n">
        <x:f>L349+I349</x:f>
        <x:v>35</x:v>
      </x:c>
      <x:c r="Q349" s="8" t="n">
        <x:f>P349*E349</x:f>
        <x:v>105</x:v>
      </x:c>
      <x:c r="R349" s="8" t="n">
        <x:f>I349*E349</x:f>
        <x:v>0</x:v>
      </x:c>
      <x:c r="S349" s="8" t="n">
        <x:f>O349*E349</x:f>
        <x:v>0</x:v>
      </x:c>
      <x:c r="T349" s="2" t="n">
        <x:f>IF(A349&lt;DATE(2025,12,1),"",IF(D349="Closed",0,ROUND(AVERAGEIFS('Daily inputs'!$F$2:$F$367,'Daily inputs'!$B$2:$B$367,B349,'Daily inputs'!$C$2:$C$367,C349,'Daily inputs'!$D$2:$D$367,"Training"),0)))</x:f>
        <x:v>34</x:v>
      </x:c>
      <x:c r="U349" s="2" t="n">
        <x:f>IF(A349&lt;DATE(2025,12,1),"",ROUND(T349*IF(D349="Christmas",Notes!$B$9,Notes!$B$8),0))</x:f>
        <x:v>35</x:v>
      </x:c>
      <x:c r="V349" s="2" t="n">
        <x:f>IF(A349&lt;DATE(2025,12,1),"",ABS(T349-F349))</x:f>
        <x:v>1</x:v>
      </x:c>
      <x:c r="W349" s="2" t="n">
        <x:f>IF(A349&lt;DATE(2025,12,1),"",ABS(U349-F349))</x:f>
        <x:v>0</x:v>
      </x:c>
      <x:c r="X349" s="2" t="n">
        <x:f>IF(A349&lt;DATE(2025,12,1),"",T349-F349)</x:f>
        <x:v>-1</x:v>
      </x:c>
      <x:c r="Y349" s="2" t="n">
        <x:f>IF(A349&lt;DATE(2025,12,1),"",U349-F349)</x:f>
        <x:v>0</x:v>
      </x:c>
      <x:c r="Z349" s="2" t="n">
        <x:f>IF(N349&gt;0,1,0)</x:f>
        <x:v>0</x:v>
      </x:c>
    </x:row>
    <x:row r="350" ht="21" customHeight="1">
      <x:c r="A350" s="6" t="n">
        <x:f>'Daily inputs'!A350</x:f>
        <x:v>46020</x:v>
      </x:c>
      <x:c r="B350" s="2" t="str">
        <x:f>'Daily inputs'!B350</x:f>
        <x:v>I01</x:v>
      </x:c>
      <x:c r="C350" s="2" t="n">
        <x:f>'Daily inputs'!C350</x:f>
        <x:v>1</x:v>
      </x:c>
      <x:c r="D350" s="2" t="str">
        <x:f>'Daily inputs'!D350</x:f>
        <x:v>December normal</x:v>
      </x:c>
      <x:c r="E350" s="7" t="n">
        <x:f>'Daily inputs'!E350</x:f>
        <x:v>8.5</x:v>
      </x:c>
      <x:c r="F350" s="2" t="n">
        <x:f>'Daily inputs'!F350</x:f>
        <x:v>63</x:v>
      </x:c>
      <x:c r="G350" s="2" t="n">
        <x:f>'Daily inputs'!G350</x:f>
        <x:v>12</x:v>
      </x:c>
      <x:c r="H350" s="2" t="n">
        <x:f>'Daily inputs'!H350</x:f>
        <x:v>60</x:v>
      </x:c>
      <x:c r="I350" s="2" t="n">
        <x:f>'Daily inputs'!I350</x:f>
        <x:v>0</x:v>
      </x:c>
      <x:c r="J350" s="2" t="n">
        <x:f>'Daily inputs'!J350</x:f>
        <x:v>0</x:v>
      </x:c>
      <x:c r="K350" s="2" t="n">
        <x:f>'Daily inputs'!K350</x:f>
        <x:v>0</x:v>
      </x:c>
      <x:c r="L350" s="2" t="n">
        <x:f>MIN(F350,G350+H350-I350)</x:f>
        <x:v>63</x:v>
      </x:c>
      <x:c r="M350" s="2" t="n">
        <x:f>G350+H350-L350-I350</x:f>
        <x:v>9</x:v>
      </x:c>
      <x:c r="N350" s="2" t="n">
        <x:f>F350-L350</x:f>
        <x:v>0</x:v>
      </x:c>
      <x:c r="O350" s="2" t="n">
        <x:f>N350-J350</x:f>
        <x:v>0</x:v>
      </x:c>
      <x:c r="P350" s="2" t="n">
        <x:f>L350+I350</x:f>
        <x:v>63</x:v>
      </x:c>
      <x:c r="Q350" s="8" t="n">
        <x:f>P350*E350</x:f>
        <x:v>535.5</x:v>
      </x:c>
      <x:c r="R350" s="8" t="n">
        <x:f>I350*E350</x:f>
        <x:v>0</x:v>
      </x:c>
      <x:c r="S350" s="8" t="n">
        <x:f>O350*E350</x:f>
        <x:v>0</x:v>
      </x:c>
      <x:c r="T350" s="2" t="n">
        <x:f>IF(A350&lt;DATE(2025,12,1),"",IF(D350="Closed",0,ROUND(AVERAGEIFS('Daily inputs'!$F$2:$F$367,'Daily inputs'!$B$2:$B$367,B350,'Daily inputs'!$C$2:$C$367,C350,'Daily inputs'!$D$2:$D$367,"Training"),0)))</x:f>
        <x:v>60</x:v>
      </x:c>
      <x:c r="U350" s="2" t="n">
        <x:f>IF(A350&lt;DATE(2025,12,1),"",ROUND(T350*IF(D350="Christmas",Notes!$B$9,Notes!$B$8),0))</x:f>
        <x:v>62</x:v>
      </x:c>
      <x:c r="V350" s="2" t="n">
        <x:f>IF(A350&lt;DATE(2025,12,1),"",ABS(T350-F350))</x:f>
        <x:v>3</x:v>
      </x:c>
      <x:c r="W350" s="2" t="n">
        <x:f>IF(A350&lt;DATE(2025,12,1),"",ABS(U350-F350))</x:f>
        <x:v>1</x:v>
      </x:c>
      <x:c r="X350" s="2" t="n">
        <x:f>IF(A350&lt;DATE(2025,12,1),"",T350-F350)</x:f>
        <x:v>-3</x:v>
      </x:c>
      <x:c r="Y350" s="2" t="n">
        <x:f>IF(A350&lt;DATE(2025,12,1),"",U350-F350)</x:f>
        <x:v>-1</x:v>
      </x:c>
      <x:c r="Z350" s="2" t="n">
        <x:f>IF(N350&gt;0,1,0)</x:f>
        <x:v>0</x:v>
      </x:c>
    </x:row>
    <x:row r="351" ht="21" customHeight="1">
      <x:c r="A351" s="6" t="n">
        <x:f>'Daily inputs'!A351</x:f>
        <x:v>46020</x:v>
      </x:c>
      <x:c r="B351" s="2" t="str">
        <x:f>'Daily inputs'!B351</x:f>
        <x:v>I02</x:v>
      </x:c>
      <x:c r="C351" s="2" t="n">
        <x:f>'Daily inputs'!C351</x:f>
        <x:v>1</x:v>
      </x:c>
      <x:c r="D351" s="2" t="str">
        <x:f>'Daily inputs'!D351</x:f>
        <x:v>December normal</x:v>
      </x:c>
      <x:c r="E351" s="7" t="n">
        <x:f>'Daily inputs'!E351</x:f>
        <x:v>8</x:v>
      </x:c>
      <x:c r="F351" s="2" t="n">
        <x:f>'Daily inputs'!F351</x:f>
        <x:v>52</x:v>
      </x:c>
      <x:c r="G351" s="2" t="n">
        <x:f>'Daily inputs'!G351</x:f>
        <x:v>11</x:v>
      </x:c>
      <x:c r="H351" s="2" t="n">
        <x:f>'Daily inputs'!H351</x:f>
        <x:v>49</x:v>
      </x:c>
      <x:c r="I351" s="2" t="n">
        <x:f>'Daily inputs'!I351</x:f>
        <x:v>0</x:v>
      </x:c>
      <x:c r="J351" s="2" t="n">
        <x:f>'Daily inputs'!J351</x:f>
        <x:v>0</x:v>
      </x:c>
      <x:c r="K351" s="2" t="n">
        <x:f>'Daily inputs'!K351</x:f>
        <x:v>0</x:v>
      </x:c>
      <x:c r="L351" s="2" t="n">
        <x:f>MIN(F351,G351+H351-I351)</x:f>
        <x:v>52</x:v>
      </x:c>
      <x:c r="M351" s="2" t="n">
        <x:f>G351+H351-L351-I351</x:f>
        <x:v>8</x:v>
      </x:c>
      <x:c r="N351" s="2" t="n">
        <x:f>F351-L351</x:f>
        <x:v>0</x:v>
      </x:c>
      <x:c r="O351" s="2" t="n">
        <x:f>N351-J351</x:f>
        <x:v>0</x:v>
      </x:c>
      <x:c r="P351" s="2" t="n">
        <x:f>L351+I351</x:f>
        <x:v>52</x:v>
      </x:c>
      <x:c r="Q351" s="8" t="n">
        <x:f>P351*E351</x:f>
        <x:v>416</x:v>
      </x:c>
      <x:c r="R351" s="8" t="n">
        <x:f>I351*E351</x:f>
        <x:v>0</x:v>
      </x:c>
      <x:c r="S351" s="8" t="n">
        <x:f>O351*E351</x:f>
        <x:v>0</x:v>
      </x:c>
      <x:c r="T351" s="2" t="n">
        <x:f>IF(A351&lt;DATE(2025,12,1),"",IF(D351="Closed",0,ROUND(AVERAGEIFS('Daily inputs'!$F$2:$F$367,'Daily inputs'!$B$2:$B$367,B351,'Daily inputs'!$C$2:$C$367,C351,'Daily inputs'!$D$2:$D$367,"Training"),0)))</x:f>
        <x:v>50</x:v>
      </x:c>
      <x:c r="U351" s="2" t="n">
        <x:f>IF(A351&lt;DATE(2025,12,1),"",ROUND(T351*IF(D351="Christmas",Notes!$B$9,Notes!$B$8),0))</x:f>
        <x:v>52</x:v>
      </x:c>
      <x:c r="V351" s="2" t="n">
        <x:f>IF(A351&lt;DATE(2025,12,1),"",ABS(T351-F351))</x:f>
        <x:v>2</x:v>
      </x:c>
      <x:c r="W351" s="2" t="n">
        <x:f>IF(A351&lt;DATE(2025,12,1),"",ABS(U351-F351))</x:f>
        <x:v>0</x:v>
      </x:c>
      <x:c r="X351" s="2" t="n">
        <x:f>IF(A351&lt;DATE(2025,12,1),"",T351-F351)</x:f>
        <x:v>-2</x:v>
      </x:c>
      <x:c r="Y351" s="2" t="n">
        <x:f>IF(A351&lt;DATE(2025,12,1),"",U351-F351)</x:f>
        <x:v>0</x:v>
      </x:c>
      <x:c r="Z351" s="2" t="n">
        <x:f>IF(N351&gt;0,1,0)</x:f>
        <x:v>0</x:v>
      </x:c>
    </x:row>
    <x:row r="352" ht="21" customHeight="1">
      <x:c r="A352" s="6" t="n">
        <x:f>'Daily inputs'!A352</x:f>
        <x:v>46020</x:v>
      </x:c>
      <x:c r="B352" s="2" t="str">
        <x:f>'Daily inputs'!B352</x:f>
        <x:v>I03</x:v>
      </x:c>
      <x:c r="C352" s="2" t="n">
        <x:f>'Daily inputs'!C352</x:f>
        <x:v>1</x:v>
      </x:c>
      <x:c r="D352" s="2" t="str">
        <x:f>'Daily inputs'!D352</x:f>
        <x:v>December normal</x:v>
      </x:c>
      <x:c r="E352" s="7" t="n">
        <x:f>'Daily inputs'!E352</x:f>
        <x:v>7.5</x:v>
      </x:c>
      <x:c r="F352" s="2" t="n">
        <x:f>'Daily inputs'!F352</x:f>
        <x:v>31</x:v>
      </x:c>
      <x:c r="G352" s="2" t="n">
        <x:f>'Daily inputs'!G352</x:f>
        <x:v>6</x:v>
      </x:c>
      <x:c r="H352" s="2" t="n">
        <x:f>'Daily inputs'!H352</x:f>
        <x:v>30</x:v>
      </x:c>
      <x:c r="I352" s="2" t="n">
        <x:f>'Daily inputs'!I352</x:f>
        <x:v>0</x:v>
      </x:c>
      <x:c r="J352" s="2" t="n">
        <x:f>'Daily inputs'!J352</x:f>
        <x:v>0</x:v>
      </x:c>
      <x:c r="K352" s="2" t="n">
        <x:f>'Daily inputs'!K352</x:f>
        <x:v>0</x:v>
      </x:c>
      <x:c r="L352" s="2" t="n">
        <x:f>MIN(F352,G352+H352-I352)</x:f>
        <x:v>31</x:v>
      </x:c>
      <x:c r="M352" s="2" t="n">
        <x:f>G352+H352-L352-I352</x:f>
        <x:v>5</x:v>
      </x:c>
      <x:c r="N352" s="2" t="n">
        <x:f>F352-L352</x:f>
        <x:v>0</x:v>
      </x:c>
      <x:c r="O352" s="2" t="n">
        <x:f>N352-J352</x:f>
        <x:v>0</x:v>
      </x:c>
      <x:c r="P352" s="2" t="n">
        <x:f>L352+I352</x:f>
        <x:v>31</x:v>
      </x:c>
      <x:c r="Q352" s="8" t="n">
        <x:f>P352*E352</x:f>
        <x:v>232.5</x:v>
      </x:c>
      <x:c r="R352" s="8" t="n">
        <x:f>I352*E352</x:f>
        <x:v>0</x:v>
      </x:c>
      <x:c r="S352" s="8" t="n">
        <x:f>O352*E352</x:f>
        <x:v>0</x:v>
      </x:c>
      <x:c r="T352" s="2" t="n">
        <x:f>IF(A352&lt;DATE(2025,12,1),"",IF(D352="Closed",0,ROUND(AVERAGEIFS('Daily inputs'!$F$2:$F$367,'Daily inputs'!$B$2:$B$367,B352,'Daily inputs'!$C$2:$C$367,C352,'Daily inputs'!$D$2:$D$367,"Training"),0)))</x:f>
        <x:v>29</x:v>
      </x:c>
      <x:c r="U352" s="2" t="n">
        <x:f>IF(A352&lt;DATE(2025,12,1),"",ROUND(T352*IF(D352="Christmas",Notes!$B$9,Notes!$B$8),0))</x:f>
        <x:v>30</x:v>
      </x:c>
      <x:c r="V352" s="2" t="n">
        <x:f>IF(A352&lt;DATE(2025,12,1),"",ABS(T352-F352))</x:f>
        <x:v>2</x:v>
      </x:c>
      <x:c r="W352" s="2" t="n">
        <x:f>IF(A352&lt;DATE(2025,12,1),"",ABS(U352-F352))</x:f>
        <x:v>1</x:v>
      </x:c>
      <x:c r="X352" s="2" t="n">
        <x:f>IF(A352&lt;DATE(2025,12,1),"",T352-F352)</x:f>
        <x:v>-2</x:v>
      </x:c>
      <x:c r="Y352" s="2" t="n">
        <x:f>IF(A352&lt;DATE(2025,12,1),"",U352-F352)</x:f>
        <x:v>-1</x:v>
      </x:c>
      <x:c r="Z352" s="2" t="n">
        <x:f>IF(N352&gt;0,1,0)</x:f>
        <x:v>0</x:v>
      </x:c>
    </x:row>
    <x:row r="353" ht="21" customHeight="1">
      <x:c r="A353" s="6" t="n">
        <x:f>'Daily inputs'!A353</x:f>
        <x:v>46020</x:v>
      </x:c>
      <x:c r="B353" s="2" t="str">
        <x:f>'Daily inputs'!B353</x:f>
        <x:v>I04</x:v>
      </x:c>
      <x:c r="C353" s="2" t="n">
        <x:f>'Daily inputs'!C353</x:f>
        <x:v>1</x:v>
      </x:c>
      <x:c r="D353" s="2" t="str">
        <x:f>'Daily inputs'!D353</x:f>
        <x:v>December normal</x:v>
      </x:c>
      <x:c r="E353" s="7" t="n">
        <x:f>'Daily inputs'!E353</x:f>
        <x:v>9</x:v>
      </x:c>
      <x:c r="F353" s="2" t="n">
        <x:f>'Daily inputs'!F353</x:f>
        <x:v>33</x:v>
      </x:c>
      <x:c r="G353" s="2" t="n">
        <x:f>'Daily inputs'!G353</x:f>
        <x:v>7</x:v>
      </x:c>
      <x:c r="H353" s="2" t="n">
        <x:f>'Daily inputs'!H353</x:f>
        <x:v>31</x:v>
      </x:c>
      <x:c r="I353" s="2" t="n">
        <x:f>'Daily inputs'!I353</x:f>
        <x:v>0</x:v>
      </x:c>
      <x:c r="J353" s="2" t="n">
        <x:f>'Daily inputs'!J353</x:f>
        <x:v>0</x:v>
      </x:c>
      <x:c r="K353" s="2" t="n">
        <x:f>'Daily inputs'!K353</x:f>
        <x:v>0</x:v>
      </x:c>
      <x:c r="L353" s="2" t="n">
        <x:f>MIN(F353,G353+H353-I353)</x:f>
        <x:v>33</x:v>
      </x:c>
      <x:c r="M353" s="2" t="n">
        <x:f>G353+H353-L353-I353</x:f>
        <x:v>5</x:v>
      </x:c>
      <x:c r="N353" s="2" t="n">
        <x:f>F353-L353</x:f>
        <x:v>0</x:v>
      </x:c>
      <x:c r="O353" s="2" t="n">
        <x:f>N353-J353</x:f>
        <x:v>0</x:v>
      </x:c>
      <x:c r="P353" s="2" t="n">
        <x:f>L353+I353</x:f>
        <x:v>33</x:v>
      </x:c>
      <x:c r="Q353" s="8" t="n">
        <x:f>P353*E353</x:f>
        <x:v>297</x:v>
      </x:c>
      <x:c r="R353" s="8" t="n">
        <x:f>I353*E353</x:f>
        <x:v>0</x:v>
      </x:c>
      <x:c r="S353" s="8" t="n">
        <x:f>O353*E353</x:f>
        <x:v>0</x:v>
      </x:c>
      <x:c r="T353" s="2" t="n">
        <x:f>IF(A353&lt;DATE(2025,12,1),"",IF(D353="Closed",0,ROUND(AVERAGEIFS('Daily inputs'!$F$2:$F$367,'Daily inputs'!$B$2:$B$367,B353,'Daily inputs'!$C$2:$C$367,C353,'Daily inputs'!$D$2:$D$367,"Training"),0)))</x:f>
        <x:v>33</x:v>
      </x:c>
      <x:c r="U353" s="2" t="n">
        <x:f>IF(A353&lt;DATE(2025,12,1),"",ROUND(T353*IF(D353="Christmas",Notes!$B$9,Notes!$B$8),0))</x:f>
        <x:v>34</x:v>
      </x:c>
      <x:c r="V353" s="2" t="n">
        <x:f>IF(A353&lt;DATE(2025,12,1),"",ABS(T353-F353))</x:f>
        <x:v>0</x:v>
      </x:c>
      <x:c r="W353" s="2" t="n">
        <x:f>IF(A353&lt;DATE(2025,12,1),"",ABS(U353-F353))</x:f>
        <x:v>1</x:v>
      </x:c>
      <x:c r="X353" s="2" t="n">
        <x:f>IF(A353&lt;DATE(2025,12,1),"",T353-F353)</x:f>
        <x:v>0</x:v>
      </x:c>
      <x:c r="Y353" s="2" t="n">
        <x:f>IF(A353&lt;DATE(2025,12,1),"",U353-F353)</x:f>
        <x:v>1</x:v>
      </x:c>
      <x:c r="Z353" s="2" t="n">
        <x:f>IF(N353&gt;0,1,0)</x:f>
        <x:v>0</x:v>
      </x:c>
    </x:row>
    <x:row r="354" ht="21" customHeight="1">
      <x:c r="A354" s="6" t="n">
        <x:f>'Daily inputs'!A354</x:f>
        <x:v>46020</x:v>
      </x:c>
      <x:c r="B354" s="2" t="str">
        <x:f>'Daily inputs'!B354</x:f>
        <x:v>I05</x:v>
      </x:c>
      <x:c r="C354" s="2" t="n">
        <x:f>'Daily inputs'!C354</x:f>
        <x:v>1</x:v>
      </x:c>
      <x:c r="D354" s="2" t="str">
        <x:f>'Daily inputs'!D354</x:f>
        <x:v>December normal</x:v>
      </x:c>
      <x:c r="E354" s="7" t="n">
        <x:f>'Daily inputs'!E354</x:f>
        <x:v>3.5</x:v>
      </x:c>
      <x:c r="F354" s="2" t="n">
        <x:f>'Daily inputs'!F354</x:f>
        <x:v>71</x:v>
      </x:c>
      <x:c r="G354" s="2" t="n">
        <x:f>'Daily inputs'!G354</x:f>
        <x:v>15</x:v>
      </x:c>
      <x:c r="H354" s="2" t="n">
        <x:f>'Daily inputs'!H354</x:f>
        <x:v>67</x:v>
      </x:c>
      <x:c r="I354" s="2" t="n">
        <x:f>'Daily inputs'!I354</x:f>
        <x:v>0</x:v>
      </x:c>
      <x:c r="J354" s="2" t="n">
        <x:f>'Daily inputs'!J354</x:f>
        <x:v>0</x:v>
      </x:c>
      <x:c r="K354" s="2" t="n">
        <x:f>'Daily inputs'!K354</x:f>
        <x:v>0</x:v>
      </x:c>
      <x:c r="L354" s="2" t="n">
        <x:f>MIN(F354,G354+H354-I354)</x:f>
        <x:v>71</x:v>
      </x:c>
      <x:c r="M354" s="2" t="n">
        <x:f>G354+H354-L354-I354</x:f>
        <x:v>11</x:v>
      </x:c>
      <x:c r="N354" s="2" t="n">
        <x:f>F354-L354</x:f>
        <x:v>0</x:v>
      </x:c>
      <x:c r="O354" s="2" t="n">
        <x:f>N354-J354</x:f>
        <x:v>0</x:v>
      </x:c>
      <x:c r="P354" s="2" t="n">
        <x:f>L354+I354</x:f>
        <x:v>71</x:v>
      </x:c>
      <x:c r="Q354" s="8" t="n">
        <x:f>P354*E354</x:f>
        <x:v>248.5</x:v>
      </x:c>
      <x:c r="R354" s="8" t="n">
        <x:f>I354*E354</x:f>
        <x:v>0</x:v>
      </x:c>
      <x:c r="S354" s="8" t="n">
        <x:f>O354*E354</x:f>
        <x:v>0</x:v>
      </x:c>
      <x:c r="T354" s="2" t="n">
        <x:f>IF(A354&lt;DATE(2025,12,1),"",IF(D354="Closed",0,ROUND(AVERAGEIFS('Daily inputs'!$F$2:$F$367,'Daily inputs'!$B$2:$B$367,B354,'Daily inputs'!$C$2:$C$367,C354,'Daily inputs'!$D$2:$D$367,"Training"),0)))</x:f>
        <x:v>69</x:v>
      </x:c>
      <x:c r="U354" s="2" t="n">
        <x:f>IF(A354&lt;DATE(2025,12,1),"",ROUND(T354*IF(D354="Christmas",Notes!$B$9,Notes!$B$8),0))</x:f>
        <x:v>72</x:v>
      </x:c>
      <x:c r="V354" s="2" t="n">
        <x:f>IF(A354&lt;DATE(2025,12,1),"",ABS(T354-F354))</x:f>
        <x:v>2</x:v>
      </x:c>
      <x:c r="W354" s="2" t="n">
        <x:f>IF(A354&lt;DATE(2025,12,1),"",ABS(U354-F354))</x:f>
        <x:v>1</x:v>
      </x:c>
      <x:c r="X354" s="2" t="n">
        <x:f>IF(A354&lt;DATE(2025,12,1),"",T354-F354)</x:f>
        <x:v>-2</x:v>
      </x:c>
      <x:c r="Y354" s="2" t="n">
        <x:f>IF(A354&lt;DATE(2025,12,1),"",U354-F354)</x:f>
        <x:v>1</x:v>
      </x:c>
      <x:c r="Z354" s="2" t="n">
        <x:f>IF(N354&gt;0,1,0)</x:f>
        <x:v>0</x:v>
      </x:c>
    </x:row>
    <x:row r="355" ht="21" customHeight="1">
      <x:c r="A355" s="6" t="n">
        <x:f>'Daily inputs'!A355</x:f>
        <x:v>46020</x:v>
      </x:c>
      <x:c r="B355" s="2" t="str">
        <x:f>'Daily inputs'!B355</x:f>
        <x:v>I06</x:v>
      </x:c>
      <x:c r="C355" s="2" t="n">
        <x:f>'Daily inputs'!C355</x:f>
        <x:v>1</x:v>
      </x:c>
      <x:c r="D355" s="2" t="str">
        <x:f>'Daily inputs'!D355</x:f>
        <x:v>December normal</x:v>
      </x:c>
      <x:c r="E355" s="7" t="n">
        <x:f>'Daily inputs'!E355</x:f>
        <x:v>3</x:v>
      </x:c>
      <x:c r="F355" s="2" t="n">
        <x:f>'Daily inputs'!F355</x:f>
        <x:v>29</x:v>
      </x:c>
      <x:c r="G355" s="2" t="n">
        <x:f>'Daily inputs'!G355</x:f>
        <x:v>5</x:v>
      </x:c>
      <x:c r="H355" s="2" t="n">
        <x:f>'Daily inputs'!H355</x:f>
        <x:v>28</x:v>
      </x:c>
      <x:c r="I355" s="2" t="n">
        <x:f>'Daily inputs'!I355</x:f>
        <x:v>0</x:v>
      </x:c>
      <x:c r="J355" s="2" t="n">
        <x:f>'Daily inputs'!J355</x:f>
        <x:v>0</x:v>
      </x:c>
      <x:c r="K355" s="2" t="n">
        <x:f>'Daily inputs'!K355</x:f>
        <x:v>0</x:v>
      </x:c>
      <x:c r="L355" s="2" t="n">
        <x:f>MIN(F355,G355+H355-I355)</x:f>
        <x:v>29</x:v>
      </x:c>
      <x:c r="M355" s="2" t="n">
        <x:f>G355+H355-L355-I355</x:f>
        <x:v>4</x:v>
      </x:c>
      <x:c r="N355" s="2" t="n">
        <x:f>F355-L355</x:f>
        <x:v>0</x:v>
      </x:c>
      <x:c r="O355" s="2" t="n">
        <x:f>N355-J355</x:f>
        <x:v>0</x:v>
      </x:c>
      <x:c r="P355" s="2" t="n">
        <x:f>L355+I355</x:f>
        <x:v>29</x:v>
      </x:c>
      <x:c r="Q355" s="8" t="n">
        <x:f>P355*E355</x:f>
        <x:v>87</x:v>
      </x:c>
      <x:c r="R355" s="8" t="n">
        <x:f>I355*E355</x:f>
        <x:v>0</x:v>
      </x:c>
      <x:c r="S355" s="8" t="n">
        <x:f>O355*E355</x:f>
        <x:v>0</x:v>
      </x:c>
      <x:c r="T355" s="2" t="n">
        <x:f>IF(A355&lt;DATE(2025,12,1),"",IF(D355="Closed",0,ROUND(AVERAGEIFS('Daily inputs'!$F$2:$F$367,'Daily inputs'!$B$2:$B$367,B355,'Daily inputs'!$C$2:$C$367,C355,'Daily inputs'!$D$2:$D$367,"Training"),0)))</x:f>
        <x:v>26</x:v>
      </x:c>
      <x:c r="U355" s="2" t="n">
        <x:f>IF(A355&lt;DATE(2025,12,1),"",ROUND(T355*IF(D355="Christmas",Notes!$B$9,Notes!$B$8),0))</x:f>
        <x:v>27</x:v>
      </x:c>
      <x:c r="V355" s="2" t="n">
        <x:f>IF(A355&lt;DATE(2025,12,1),"",ABS(T355-F355))</x:f>
        <x:v>3</x:v>
      </x:c>
      <x:c r="W355" s="2" t="n">
        <x:f>IF(A355&lt;DATE(2025,12,1),"",ABS(U355-F355))</x:f>
        <x:v>2</x:v>
      </x:c>
      <x:c r="X355" s="2" t="n">
        <x:f>IF(A355&lt;DATE(2025,12,1),"",T355-F355)</x:f>
        <x:v>-3</x:v>
      </x:c>
      <x:c r="Y355" s="2" t="n">
        <x:f>IF(A355&lt;DATE(2025,12,1),"",U355-F355)</x:f>
        <x:v>-2</x:v>
      </x:c>
      <x:c r="Z355" s="2" t="n">
        <x:f>IF(N355&gt;0,1,0)</x:f>
        <x:v>0</x:v>
      </x:c>
    </x:row>
    <x:row r="356" ht="21" customHeight="1">
      <x:c r="A356" s="6" t="n">
        <x:f>'Daily inputs'!A356</x:f>
        <x:v>46021</x:v>
      </x:c>
      <x:c r="B356" s="2" t="str">
        <x:f>'Daily inputs'!B356</x:f>
        <x:v>I01</x:v>
      </x:c>
      <x:c r="C356" s="2" t="n">
        <x:f>'Daily inputs'!C356</x:f>
        <x:v>2</x:v>
      </x:c>
      <x:c r="D356" s="2" t="str">
        <x:f>'Daily inputs'!D356</x:f>
        <x:v>December normal</x:v>
      </x:c>
      <x:c r="E356" s="7" t="n">
        <x:f>'Daily inputs'!E356</x:f>
        <x:v>8.5</x:v>
      </x:c>
      <x:c r="F356" s="2" t="n">
        <x:f>'Daily inputs'!F356</x:f>
        <x:v>66</x:v>
      </x:c>
      <x:c r="G356" s="2" t="n">
        <x:f>'Daily inputs'!G356</x:f>
        <x:v>9</x:v>
      </x:c>
      <x:c r="H356" s="2" t="n">
        <x:f>'Daily inputs'!H356</x:f>
        <x:v>67</x:v>
      </x:c>
      <x:c r="I356" s="2" t="n">
        <x:f>'Daily inputs'!I356</x:f>
        <x:v>0</x:v>
      </x:c>
      <x:c r="J356" s="2" t="n">
        <x:f>'Daily inputs'!J356</x:f>
        <x:v>0</x:v>
      </x:c>
      <x:c r="K356" s="2" t="n">
        <x:f>'Daily inputs'!K356</x:f>
        <x:v>0</x:v>
      </x:c>
      <x:c r="L356" s="2" t="n">
        <x:f>MIN(F356,G356+H356-I356)</x:f>
        <x:v>66</x:v>
      </x:c>
      <x:c r="M356" s="2" t="n">
        <x:f>G356+H356-L356-I356</x:f>
        <x:v>10</x:v>
      </x:c>
      <x:c r="N356" s="2" t="n">
        <x:f>F356-L356</x:f>
        <x:v>0</x:v>
      </x:c>
      <x:c r="O356" s="2" t="n">
        <x:f>N356-J356</x:f>
        <x:v>0</x:v>
      </x:c>
      <x:c r="P356" s="2" t="n">
        <x:f>L356+I356</x:f>
        <x:v>66</x:v>
      </x:c>
      <x:c r="Q356" s="8" t="n">
        <x:f>P356*E356</x:f>
        <x:v>561</x:v>
      </x:c>
      <x:c r="R356" s="8" t="n">
        <x:f>I356*E356</x:f>
        <x:v>0</x:v>
      </x:c>
      <x:c r="S356" s="8" t="n">
        <x:f>O356*E356</x:f>
        <x:v>0</x:v>
      </x:c>
      <x:c r="T356" s="2" t="n">
        <x:f>IF(A356&lt;DATE(2025,12,1),"",IF(D356="Closed",0,ROUND(AVERAGEIFS('Daily inputs'!$F$2:$F$367,'Daily inputs'!$B$2:$B$367,B356,'Daily inputs'!$C$2:$C$367,C356,'Daily inputs'!$D$2:$D$367,"Training"),0)))</x:f>
        <x:v>65</x:v>
      </x:c>
      <x:c r="U356" s="2" t="n">
        <x:f>IF(A356&lt;DATE(2025,12,1),"",ROUND(T356*IF(D356="Christmas",Notes!$B$9,Notes!$B$8),0))</x:f>
        <x:v>68</x:v>
      </x:c>
      <x:c r="V356" s="2" t="n">
        <x:f>IF(A356&lt;DATE(2025,12,1),"",ABS(T356-F356))</x:f>
        <x:v>1</x:v>
      </x:c>
      <x:c r="W356" s="2" t="n">
        <x:f>IF(A356&lt;DATE(2025,12,1),"",ABS(U356-F356))</x:f>
        <x:v>2</x:v>
      </x:c>
      <x:c r="X356" s="2" t="n">
        <x:f>IF(A356&lt;DATE(2025,12,1),"",T356-F356)</x:f>
        <x:v>-1</x:v>
      </x:c>
      <x:c r="Y356" s="2" t="n">
        <x:f>IF(A356&lt;DATE(2025,12,1),"",U356-F356)</x:f>
        <x:v>2</x:v>
      </x:c>
      <x:c r="Z356" s="2" t="n">
        <x:f>IF(N356&gt;0,1,0)</x:f>
        <x:v>0</x:v>
      </x:c>
    </x:row>
    <x:row r="357" ht="21" customHeight="1">
      <x:c r="A357" s="6" t="n">
        <x:f>'Daily inputs'!A357</x:f>
        <x:v>46021</x:v>
      </x:c>
      <x:c r="B357" s="2" t="str">
        <x:f>'Daily inputs'!B357</x:f>
        <x:v>I02</x:v>
      </x:c>
      <x:c r="C357" s="2" t="n">
        <x:f>'Daily inputs'!C357</x:f>
        <x:v>2</x:v>
      </x:c>
      <x:c r="D357" s="2" t="str">
        <x:f>'Daily inputs'!D357</x:f>
        <x:v>December normal</x:v>
      </x:c>
      <x:c r="E357" s="7" t="n">
        <x:f>'Daily inputs'!E357</x:f>
        <x:v>8</x:v>
      </x:c>
      <x:c r="F357" s="2" t="n">
        <x:f>'Daily inputs'!F357</x:f>
        <x:v>56</x:v>
      </x:c>
      <x:c r="G357" s="2" t="n">
        <x:f>'Daily inputs'!G357</x:f>
        <x:v>8</x:v>
      </x:c>
      <x:c r="H357" s="2" t="n">
        <x:f>'Daily inputs'!H357</x:f>
        <x:v>56</x:v>
      </x:c>
      <x:c r="I357" s="2" t="n">
        <x:f>'Daily inputs'!I357</x:f>
        <x:v>0</x:v>
      </x:c>
      <x:c r="J357" s="2" t="n">
        <x:f>'Daily inputs'!J357</x:f>
        <x:v>0</x:v>
      </x:c>
      <x:c r="K357" s="2" t="n">
        <x:f>'Daily inputs'!K357</x:f>
        <x:v>0</x:v>
      </x:c>
      <x:c r="L357" s="2" t="n">
        <x:f>MIN(F357,G357+H357-I357)</x:f>
        <x:v>56</x:v>
      </x:c>
      <x:c r="M357" s="2" t="n">
        <x:f>G357+H357-L357-I357</x:f>
        <x:v>8</x:v>
      </x:c>
      <x:c r="N357" s="2" t="n">
        <x:f>F357-L357</x:f>
        <x:v>0</x:v>
      </x:c>
      <x:c r="O357" s="2" t="n">
        <x:f>N357-J357</x:f>
        <x:v>0</x:v>
      </x:c>
      <x:c r="P357" s="2" t="n">
        <x:f>L357+I357</x:f>
        <x:v>56</x:v>
      </x:c>
      <x:c r="Q357" s="8" t="n">
        <x:f>P357*E357</x:f>
        <x:v>448</x:v>
      </x:c>
      <x:c r="R357" s="8" t="n">
        <x:f>I357*E357</x:f>
        <x:v>0</x:v>
      </x:c>
      <x:c r="S357" s="8" t="n">
        <x:f>O357*E357</x:f>
        <x:v>0</x:v>
      </x:c>
      <x:c r="T357" s="2" t="n">
        <x:f>IF(A357&lt;DATE(2025,12,1),"",IF(D357="Closed",0,ROUND(AVERAGEIFS('Daily inputs'!$F$2:$F$367,'Daily inputs'!$B$2:$B$367,B357,'Daily inputs'!$C$2:$C$367,C357,'Daily inputs'!$D$2:$D$367,"Training"),0)))</x:f>
        <x:v>53</x:v>
      </x:c>
      <x:c r="U357" s="2" t="n">
        <x:f>IF(A357&lt;DATE(2025,12,1),"",ROUND(T357*IF(D357="Christmas",Notes!$B$9,Notes!$B$8),0))</x:f>
        <x:v>55</x:v>
      </x:c>
      <x:c r="V357" s="2" t="n">
        <x:f>IF(A357&lt;DATE(2025,12,1),"",ABS(T357-F357))</x:f>
        <x:v>3</x:v>
      </x:c>
      <x:c r="W357" s="2" t="n">
        <x:f>IF(A357&lt;DATE(2025,12,1),"",ABS(U357-F357))</x:f>
        <x:v>1</x:v>
      </x:c>
      <x:c r="X357" s="2" t="n">
        <x:f>IF(A357&lt;DATE(2025,12,1),"",T357-F357)</x:f>
        <x:v>-3</x:v>
      </x:c>
      <x:c r="Y357" s="2" t="n">
        <x:f>IF(A357&lt;DATE(2025,12,1),"",U357-F357)</x:f>
        <x:v>-1</x:v>
      </x:c>
      <x:c r="Z357" s="2" t="n">
        <x:f>IF(N357&gt;0,1,0)</x:f>
        <x:v>0</x:v>
      </x:c>
    </x:row>
    <x:row r="358" ht="21" customHeight="1">
      <x:c r="A358" s="6" t="n">
        <x:f>'Daily inputs'!A358</x:f>
        <x:v>46021</x:v>
      </x:c>
      <x:c r="B358" s="2" t="str">
        <x:f>'Daily inputs'!B358</x:f>
        <x:v>I03</x:v>
      </x:c>
      <x:c r="C358" s="2" t="n">
        <x:f>'Daily inputs'!C358</x:f>
        <x:v>2</x:v>
      </x:c>
      <x:c r="D358" s="2" t="str">
        <x:f>'Daily inputs'!D358</x:f>
        <x:v>December normal</x:v>
      </x:c>
      <x:c r="E358" s="7" t="n">
        <x:f>'Daily inputs'!E358</x:f>
        <x:v>7.5</x:v>
      </x:c>
      <x:c r="F358" s="2" t="n">
        <x:f>'Daily inputs'!F358</x:f>
        <x:v>31</x:v>
      </x:c>
      <x:c r="G358" s="2" t="n">
        <x:f>'Daily inputs'!G358</x:f>
        <x:v>5</x:v>
      </x:c>
      <x:c r="H358" s="2" t="n">
        <x:f>'Daily inputs'!H358</x:f>
        <x:v>31</x:v>
      </x:c>
      <x:c r="I358" s="2" t="n">
        <x:f>'Daily inputs'!I358</x:f>
        <x:v>0</x:v>
      </x:c>
      <x:c r="J358" s="2" t="n">
        <x:f>'Daily inputs'!J358</x:f>
        <x:v>0</x:v>
      </x:c>
      <x:c r="K358" s="2" t="n">
        <x:f>'Daily inputs'!K358</x:f>
        <x:v>0</x:v>
      </x:c>
      <x:c r="L358" s="2" t="n">
        <x:f>MIN(F358,G358+H358-I358)</x:f>
        <x:v>31</x:v>
      </x:c>
      <x:c r="M358" s="2" t="n">
        <x:f>G358+H358-L358-I358</x:f>
        <x:v>5</x:v>
      </x:c>
      <x:c r="N358" s="2" t="n">
        <x:f>F358-L358</x:f>
        <x:v>0</x:v>
      </x:c>
      <x:c r="O358" s="2" t="n">
        <x:f>N358-J358</x:f>
        <x:v>0</x:v>
      </x:c>
      <x:c r="P358" s="2" t="n">
        <x:f>L358+I358</x:f>
        <x:v>31</x:v>
      </x:c>
      <x:c r="Q358" s="8" t="n">
        <x:f>P358*E358</x:f>
        <x:v>232.5</x:v>
      </x:c>
      <x:c r="R358" s="8" t="n">
        <x:f>I358*E358</x:f>
        <x:v>0</x:v>
      </x:c>
      <x:c r="S358" s="8" t="n">
        <x:f>O358*E358</x:f>
        <x:v>0</x:v>
      </x:c>
      <x:c r="T358" s="2" t="n">
        <x:f>IF(A358&lt;DATE(2025,12,1),"",IF(D358="Closed",0,ROUND(AVERAGEIFS('Daily inputs'!$F$2:$F$367,'Daily inputs'!$B$2:$B$367,B358,'Daily inputs'!$C$2:$C$367,C358,'Daily inputs'!$D$2:$D$367,"Training"),0)))</x:f>
        <x:v>31</x:v>
      </x:c>
      <x:c r="U358" s="2" t="n">
        <x:f>IF(A358&lt;DATE(2025,12,1),"",ROUND(T358*IF(D358="Christmas",Notes!$B$9,Notes!$B$8),0))</x:f>
        <x:v>32</x:v>
      </x:c>
      <x:c r="V358" s="2" t="n">
        <x:f>IF(A358&lt;DATE(2025,12,1),"",ABS(T358-F358))</x:f>
        <x:v>0</x:v>
      </x:c>
      <x:c r="W358" s="2" t="n">
        <x:f>IF(A358&lt;DATE(2025,12,1),"",ABS(U358-F358))</x:f>
        <x:v>1</x:v>
      </x:c>
      <x:c r="X358" s="2" t="n">
        <x:f>IF(A358&lt;DATE(2025,12,1),"",T358-F358)</x:f>
        <x:v>0</x:v>
      </x:c>
      <x:c r="Y358" s="2" t="n">
        <x:f>IF(A358&lt;DATE(2025,12,1),"",U358-F358)</x:f>
        <x:v>1</x:v>
      </x:c>
      <x:c r="Z358" s="2" t="n">
        <x:f>IF(N358&gt;0,1,0)</x:f>
        <x:v>0</x:v>
      </x:c>
    </x:row>
    <x:row r="359" ht="21" customHeight="1">
      <x:c r="A359" s="6" t="n">
        <x:f>'Daily inputs'!A359</x:f>
        <x:v>46021</x:v>
      </x:c>
      <x:c r="B359" s="2" t="str">
        <x:f>'Daily inputs'!B359</x:f>
        <x:v>I04</x:v>
      </x:c>
      <x:c r="C359" s="2" t="n">
        <x:f>'Daily inputs'!C359</x:f>
        <x:v>2</x:v>
      </x:c>
      <x:c r="D359" s="2" t="str">
        <x:f>'Daily inputs'!D359</x:f>
        <x:v>December normal</x:v>
      </x:c>
      <x:c r="E359" s="7" t="n">
        <x:f>'Daily inputs'!E359</x:f>
        <x:v>9</x:v>
      </x:c>
      <x:c r="F359" s="2" t="n">
        <x:f>'Daily inputs'!F359</x:f>
        <x:v>38</x:v>
      </x:c>
      <x:c r="G359" s="2" t="n">
        <x:f>'Daily inputs'!G359</x:f>
        <x:v>5</x:v>
      </x:c>
      <x:c r="H359" s="2" t="n">
        <x:f>'Daily inputs'!H359</x:f>
        <x:v>39</x:v>
      </x:c>
      <x:c r="I359" s="2" t="n">
        <x:f>'Daily inputs'!I359</x:f>
        <x:v>0</x:v>
      </x:c>
      <x:c r="J359" s="2" t="n">
        <x:f>'Daily inputs'!J359</x:f>
        <x:v>0</x:v>
      </x:c>
      <x:c r="K359" s="2" t="n">
        <x:f>'Daily inputs'!K359</x:f>
        <x:v>0</x:v>
      </x:c>
      <x:c r="L359" s="2" t="n">
        <x:f>MIN(F359,G359+H359-I359)</x:f>
        <x:v>38</x:v>
      </x:c>
      <x:c r="M359" s="2" t="n">
        <x:f>G359+H359-L359-I359</x:f>
        <x:v>6</x:v>
      </x:c>
      <x:c r="N359" s="2" t="n">
        <x:f>F359-L359</x:f>
        <x:v>0</x:v>
      </x:c>
      <x:c r="O359" s="2" t="n">
        <x:f>N359-J359</x:f>
        <x:v>0</x:v>
      </x:c>
      <x:c r="P359" s="2" t="n">
        <x:f>L359+I359</x:f>
        <x:v>38</x:v>
      </x:c>
      <x:c r="Q359" s="8" t="n">
        <x:f>P359*E359</x:f>
        <x:v>342</x:v>
      </x:c>
      <x:c r="R359" s="8" t="n">
        <x:f>I359*E359</x:f>
        <x:v>0</x:v>
      </x:c>
      <x:c r="S359" s="8" t="n">
        <x:f>O359*E359</x:f>
        <x:v>0</x:v>
      </x:c>
      <x:c r="T359" s="2" t="n">
        <x:f>IF(A359&lt;DATE(2025,12,1),"",IF(D359="Closed",0,ROUND(AVERAGEIFS('Daily inputs'!$F$2:$F$367,'Daily inputs'!$B$2:$B$367,B359,'Daily inputs'!$C$2:$C$367,C359,'Daily inputs'!$D$2:$D$367,"Training"),0)))</x:f>
        <x:v>37</x:v>
      </x:c>
      <x:c r="U359" s="2" t="n">
        <x:f>IF(A359&lt;DATE(2025,12,1),"",ROUND(T359*IF(D359="Christmas",Notes!$B$9,Notes!$B$8),0))</x:f>
        <x:v>38</x:v>
      </x:c>
      <x:c r="V359" s="2" t="n">
        <x:f>IF(A359&lt;DATE(2025,12,1),"",ABS(T359-F359))</x:f>
        <x:v>1</x:v>
      </x:c>
      <x:c r="W359" s="2" t="n">
        <x:f>IF(A359&lt;DATE(2025,12,1),"",ABS(U359-F359))</x:f>
        <x:v>0</x:v>
      </x:c>
      <x:c r="X359" s="2" t="n">
        <x:f>IF(A359&lt;DATE(2025,12,1),"",T359-F359)</x:f>
        <x:v>-1</x:v>
      </x:c>
      <x:c r="Y359" s="2" t="n">
        <x:f>IF(A359&lt;DATE(2025,12,1),"",U359-F359)</x:f>
        <x:v>0</x:v>
      </x:c>
      <x:c r="Z359" s="2" t="n">
        <x:f>IF(N359&gt;0,1,0)</x:f>
        <x:v>0</x:v>
      </x:c>
    </x:row>
    <x:row r="360" ht="21" customHeight="1">
      <x:c r="A360" s="6" t="n">
        <x:f>'Daily inputs'!A360</x:f>
        <x:v>46021</x:v>
      </x:c>
      <x:c r="B360" s="2" t="str">
        <x:f>'Daily inputs'!B360</x:f>
        <x:v>I05</x:v>
      </x:c>
      <x:c r="C360" s="2" t="n">
        <x:f>'Daily inputs'!C360</x:f>
        <x:v>2</x:v>
      </x:c>
      <x:c r="D360" s="2" t="str">
        <x:f>'Daily inputs'!D360</x:f>
        <x:v>December normal</x:v>
      </x:c>
      <x:c r="E360" s="7" t="n">
        <x:f>'Daily inputs'!E360</x:f>
        <x:v>3.5</x:v>
      </x:c>
      <x:c r="F360" s="2" t="n">
        <x:f>'Daily inputs'!F360</x:f>
        <x:v>79</x:v>
      </x:c>
      <x:c r="G360" s="2" t="n">
        <x:f>'Daily inputs'!G360</x:f>
        <x:v>11</x:v>
      </x:c>
      <x:c r="H360" s="2" t="n">
        <x:f>'Daily inputs'!H360</x:f>
        <x:v>80</x:v>
      </x:c>
      <x:c r="I360" s="2" t="n">
        <x:f>'Daily inputs'!I360</x:f>
        <x:v>0</x:v>
      </x:c>
      <x:c r="J360" s="2" t="n">
        <x:f>'Daily inputs'!J360</x:f>
        <x:v>0</x:v>
      </x:c>
      <x:c r="K360" s="2" t="n">
        <x:f>'Daily inputs'!K360</x:f>
        <x:v>0</x:v>
      </x:c>
      <x:c r="L360" s="2" t="n">
        <x:f>MIN(F360,G360+H360-I360)</x:f>
        <x:v>79</x:v>
      </x:c>
      <x:c r="M360" s="2" t="n">
        <x:f>G360+H360-L360-I360</x:f>
        <x:v>12</x:v>
      </x:c>
      <x:c r="N360" s="2" t="n">
        <x:f>F360-L360</x:f>
        <x:v>0</x:v>
      </x:c>
      <x:c r="O360" s="2" t="n">
        <x:f>N360-J360</x:f>
        <x:v>0</x:v>
      </x:c>
      <x:c r="P360" s="2" t="n">
        <x:f>L360+I360</x:f>
        <x:v>79</x:v>
      </x:c>
      <x:c r="Q360" s="8" t="n">
        <x:f>P360*E360</x:f>
        <x:v>276.5</x:v>
      </x:c>
      <x:c r="R360" s="8" t="n">
        <x:f>I360*E360</x:f>
        <x:v>0</x:v>
      </x:c>
      <x:c r="S360" s="8" t="n">
        <x:f>O360*E360</x:f>
        <x:v>0</x:v>
      </x:c>
      <x:c r="T360" s="2" t="n">
        <x:f>IF(A360&lt;DATE(2025,12,1),"",IF(D360="Closed",0,ROUND(AVERAGEIFS('Daily inputs'!$F$2:$F$367,'Daily inputs'!$B$2:$B$367,B360,'Daily inputs'!$C$2:$C$367,C360,'Daily inputs'!$D$2:$D$367,"Training"),0)))</x:f>
        <x:v>75</x:v>
      </x:c>
      <x:c r="U360" s="2" t="n">
        <x:f>IF(A360&lt;DATE(2025,12,1),"",ROUND(T360*IF(D360="Christmas",Notes!$B$9,Notes!$B$8),0))</x:f>
        <x:v>78</x:v>
      </x:c>
      <x:c r="V360" s="2" t="n">
        <x:f>IF(A360&lt;DATE(2025,12,1),"",ABS(T360-F360))</x:f>
        <x:v>4</x:v>
      </x:c>
      <x:c r="W360" s="2" t="n">
        <x:f>IF(A360&lt;DATE(2025,12,1),"",ABS(U360-F360))</x:f>
        <x:v>1</x:v>
      </x:c>
      <x:c r="X360" s="2" t="n">
        <x:f>IF(A360&lt;DATE(2025,12,1),"",T360-F360)</x:f>
        <x:v>-4</x:v>
      </x:c>
      <x:c r="Y360" s="2" t="n">
        <x:f>IF(A360&lt;DATE(2025,12,1),"",U360-F360)</x:f>
        <x:v>-1</x:v>
      </x:c>
      <x:c r="Z360" s="2" t="n">
        <x:f>IF(N360&gt;0,1,0)</x:f>
        <x:v>0</x:v>
      </x:c>
    </x:row>
    <x:row r="361" ht="21" customHeight="1">
      <x:c r="A361" s="6" t="n">
        <x:f>'Daily inputs'!A361</x:f>
        <x:v>46021</x:v>
      </x:c>
      <x:c r="B361" s="2" t="str">
        <x:f>'Daily inputs'!B361</x:f>
        <x:v>I06</x:v>
      </x:c>
      <x:c r="C361" s="2" t="n">
        <x:f>'Daily inputs'!C361</x:f>
        <x:v>2</x:v>
      </x:c>
      <x:c r="D361" s="2" t="str">
        <x:f>'Daily inputs'!D361</x:f>
        <x:v>December normal</x:v>
      </x:c>
      <x:c r="E361" s="7" t="n">
        <x:f>'Daily inputs'!E361</x:f>
        <x:v>3</x:v>
      </x:c>
      <x:c r="F361" s="2" t="n">
        <x:f>'Daily inputs'!F361</x:f>
        <x:v>28</x:v>
      </x:c>
      <x:c r="G361" s="2" t="n">
        <x:f>'Daily inputs'!G361</x:f>
        <x:v>4</x:v>
      </x:c>
      <x:c r="H361" s="2" t="n">
        <x:f>'Daily inputs'!H361</x:f>
        <x:v>28</x:v>
      </x:c>
      <x:c r="I361" s="2" t="n">
        <x:f>'Daily inputs'!I361</x:f>
        <x:v>0</x:v>
      </x:c>
      <x:c r="J361" s="2" t="n">
        <x:f>'Daily inputs'!J361</x:f>
        <x:v>0</x:v>
      </x:c>
      <x:c r="K361" s="2" t="n">
        <x:f>'Daily inputs'!K361</x:f>
        <x:v>0</x:v>
      </x:c>
      <x:c r="L361" s="2" t="n">
        <x:f>MIN(F361,G361+H361-I361)</x:f>
        <x:v>28</x:v>
      </x:c>
      <x:c r="M361" s="2" t="n">
        <x:f>G361+H361-L361-I361</x:f>
        <x:v>4</x:v>
      </x:c>
      <x:c r="N361" s="2" t="n">
        <x:f>F361-L361</x:f>
        <x:v>0</x:v>
      </x:c>
      <x:c r="O361" s="2" t="n">
        <x:f>N361-J361</x:f>
        <x:v>0</x:v>
      </x:c>
      <x:c r="P361" s="2" t="n">
        <x:f>L361+I361</x:f>
        <x:v>28</x:v>
      </x:c>
      <x:c r="Q361" s="8" t="n">
        <x:f>P361*E361</x:f>
        <x:v>84</x:v>
      </x:c>
      <x:c r="R361" s="8" t="n">
        <x:f>I361*E361</x:f>
        <x:v>0</x:v>
      </x:c>
      <x:c r="S361" s="8" t="n">
        <x:f>O361*E361</x:f>
        <x:v>0</x:v>
      </x:c>
      <x:c r="T361" s="2" t="n">
        <x:f>IF(A361&lt;DATE(2025,12,1),"",IF(D361="Closed",0,ROUND(AVERAGEIFS('Daily inputs'!$F$2:$F$367,'Daily inputs'!$B$2:$B$367,B361,'Daily inputs'!$C$2:$C$367,C361,'Daily inputs'!$D$2:$D$367,"Training"),0)))</x:f>
        <x:v>28</x:v>
      </x:c>
      <x:c r="U361" s="2" t="n">
        <x:f>IF(A361&lt;DATE(2025,12,1),"",ROUND(T361*IF(D361="Christmas",Notes!$B$9,Notes!$B$8),0))</x:f>
        <x:v>29</x:v>
      </x:c>
      <x:c r="V361" s="2" t="n">
        <x:f>IF(A361&lt;DATE(2025,12,1),"",ABS(T361-F361))</x:f>
        <x:v>0</x:v>
      </x:c>
      <x:c r="W361" s="2" t="n">
        <x:f>IF(A361&lt;DATE(2025,12,1),"",ABS(U361-F361))</x:f>
        <x:v>1</x:v>
      </x:c>
      <x:c r="X361" s="2" t="n">
        <x:f>IF(A361&lt;DATE(2025,12,1),"",T361-F361)</x:f>
        <x:v>0</x:v>
      </x:c>
      <x:c r="Y361" s="2" t="n">
        <x:f>IF(A361&lt;DATE(2025,12,1),"",U361-F361)</x:f>
        <x:v>1</x:v>
      </x:c>
      <x:c r="Z361" s="2" t="n">
        <x:f>IF(N361&gt;0,1,0)</x:f>
        <x:v>0</x:v>
      </x:c>
    </x:row>
    <x:row r="362" ht="21" customHeight="1">
      <x:c r="A362" s="6" t="n">
        <x:f>'Daily inputs'!A362</x:f>
        <x:v>46022</x:v>
      </x:c>
      <x:c r="B362" s="2" t="str">
        <x:f>'Daily inputs'!B362</x:f>
        <x:v>I01</x:v>
      </x:c>
      <x:c r="C362" s="2" t="n">
        <x:f>'Daily inputs'!C362</x:f>
        <x:v>3</x:v>
      </x:c>
      <x:c r="D362" s="2" t="str">
        <x:f>'Daily inputs'!D362</x:f>
        <x:v>December normal</x:v>
      </x:c>
      <x:c r="E362" s="7" t="n">
        <x:f>'Daily inputs'!E362</x:f>
        <x:v>8.5</x:v>
      </x:c>
      <x:c r="F362" s="2" t="n">
        <x:f>'Daily inputs'!F362</x:f>
        <x:v>71</x:v>
      </x:c>
      <x:c r="G362" s="2" t="n">
        <x:f>'Daily inputs'!G362</x:f>
        <x:v>10</x:v>
      </x:c>
      <x:c r="H362" s="2" t="n">
        <x:f>'Daily inputs'!H362</x:f>
        <x:v>72</x:v>
      </x:c>
      <x:c r="I362" s="2" t="n">
        <x:f>'Daily inputs'!I362</x:f>
        <x:v>0</x:v>
      </x:c>
      <x:c r="J362" s="2" t="n">
        <x:f>'Daily inputs'!J362</x:f>
        <x:v>0</x:v>
      </x:c>
      <x:c r="K362" s="2" t="n">
        <x:f>'Daily inputs'!K362</x:f>
        <x:v>0</x:v>
      </x:c>
      <x:c r="L362" s="2" t="n">
        <x:f>MIN(F362,G362+H362-I362)</x:f>
        <x:v>71</x:v>
      </x:c>
      <x:c r="M362" s="2" t="n">
        <x:f>G362+H362-L362-I362</x:f>
        <x:v>11</x:v>
      </x:c>
      <x:c r="N362" s="2" t="n">
        <x:f>F362-L362</x:f>
        <x:v>0</x:v>
      </x:c>
      <x:c r="O362" s="2" t="n">
        <x:f>N362-J362</x:f>
        <x:v>0</x:v>
      </x:c>
      <x:c r="P362" s="2" t="n">
        <x:f>L362+I362</x:f>
        <x:v>71</x:v>
      </x:c>
      <x:c r="Q362" s="8" t="n">
        <x:f>P362*E362</x:f>
        <x:v>603.5</x:v>
      </x:c>
      <x:c r="R362" s="8" t="n">
        <x:f>I362*E362</x:f>
        <x:v>0</x:v>
      </x:c>
      <x:c r="S362" s="8" t="n">
        <x:f>O362*E362</x:f>
        <x:v>0</x:v>
      </x:c>
      <x:c r="T362" s="2" t="n">
        <x:f>IF(A362&lt;DATE(2025,12,1),"",IF(D362="Closed",0,ROUND(AVERAGEIFS('Daily inputs'!$F$2:$F$367,'Daily inputs'!$B$2:$B$367,B362,'Daily inputs'!$C$2:$C$367,C362,'Daily inputs'!$D$2:$D$367,"Training"),0)))</x:f>
        <x:v>67</x:v>
      </x:c>
      <x:c r="U362" s="2" t="n">
        <x:f>IF(A362&lt;DATE(2025,12,1),"",ROUND(T362*IF(D362="Christmas",Notes!$B$9,Notes!$B$8),0))</x:f>
        <x:v>70</x:v>
      </x:c>
      <x:c r="V362" s="2" t="n">
        <x:f>IF(A362&lt;DATE(2025,12,1),"",ABS(T362-F362))</x:f>
        <x:v>4</x:v>
      </x:c>
      <x:c r="W362" s="2" t="n">
        <x:f>IF(A362&lt;DATE(2025,12,1),"",ABS(U362-F362))</x:f>
        <x:v>1</x:v>
      </x:c>
      <x:c r="X362" s="2" t="n">
        <x:f>IF(A362&lt;DATE(2025,12,1),"",T362-F362)</x:f>
        <x:v>-4</x:v>
      </x:c>
      <x:c r="Y362" s="2" t="n">
        <x:f>IF(A362&lt;DATE(2025,12,1),"",U362-F362)</x:f>
        <x:v>-1</x:v>
      </x:c>
      <x:c r="Z362" s="2" t="n">
        <x:f>IF(N362&gt;0,1,0)</x:f>
        <x:v>0</x:v>
      </x:c>
    </x:row>
    <x:row r="363" ht="21" customHeight="1">
      <x:c r="A363" s="6" t="n">
        <x:f>'Daily inputs'!A363</x:f>
        <x:v>46022</x:v>
      </x:c>
      <x:c r="B363" s="2" t="str">
        <x:f>'Daily inputs'!B363</x:f>
        <x:v>I02</x:v>
      </x:c>
      <x:c r="C363" s="2" t="n">
        <x:f>'Daily inputs'!C363</x:f>
        <x:v>3</x:v>
      </x:c>
      <x:c r="D363" s="2" t="str">
        <x:f>'Daily inputs'!D363</x:f>
        <x:v>December normal</x:v>
      </x:c>
      <x:c r="E363" s="7" t="n">
        <x:f>'Daily inputs'!E363</x:f>
        <x:v>8</x:v>
      </x:c>
      <x:c r="F363" s="2" t="n">
        <x:f>'Daily inputs'!F363</x:f>
        <x:v>55</x:v>
      </x:c>
      <x:c r="G363" s="2" t="n">
        <x:f>'Daily inputs'!G363</x:f>
        <x:v>8</x:v>
      </x:c>
      <x:c r="H363" s="2" t="n">
        <x:f>'Daily inputs'!H363</x:f>
        <x:v>55</x:v>
      </x:c>
      <x:c r="I363" s="2" t="n">
        <x:f>'Daily inputs'!I363</x:f>
        <x:v>0</x:v>
      </x:c>
      <x:c r="J363" s="2" t="n">
        <x:f>'Daily inputs'!J363</x:f>
        <x:v>0</x:v>
      </x:c>
      <x:c r="K363" s="2" t="n">
        <x:f>'Daily inputs'!K363</x:f>
        <x:v>0</x:v>
      </x:c>
      <x:c r="L363" s="2" t="n">
        <x:f>MIN(F363,G363+H363-I363)</x:f>
        <x:v>55</x:v>
      </x:c>
      <x:c r="M363" s="2" t="n">
        <x:f>G363+H363-L363-I363</x:f>
        <x:v>8</x:v>
      </x:c>
      <x:c r="N363" s="2" t="n">
        <x:f>F363-L363</x:f>
        <x:v>0</x:v>
      </x:c>
      <x:c r="O363" s="2" t="n">
        <x:f>N363-J363</x:f>
        <x:v>0</x:v>
      </x:c>
      <x:c r="P363" s="2" t="n">
        <x:f>L363+I363</x:f>
        <x:v>55</x:v>
      </x:c>
      <x:c r="Q363" s="8" t="n">
        <x:f>P363*E363</x:f>
        <x:v>440</x:v>
      </x:c>
      <x:c r="R363" s="8" t="n">
        <x:f>I363*E363</x:f>
        <x:v>0</x:v>
      </x:c>
      <x:c r="S363" s="8" t="n">
        <x:f>O363*E363</x:f>
        <x:v>0</x:v>
      </x:c>
      <x:c r="T363" s="2" t="n">
        <x:f>IF(A363&lt;DATE(2025,12,1),"",IF(D363="Closed",0,ROUND(AVERAGEIFS('Daily inputs'!$F$2:$F$367,'Daily inputs'!$B$2:$B$367,B363,'Daily inputs'!$C$2:$C$367,C363,'Daily inputs'!$D$2:$D$367,"Training"),0)))</x:f>
        <x:v>54</x:v>
      </x:c>
      <x:c r="U363" s="2" t="n">
        <x:f>IF(A363&lt;DATE(2025,12,1),"",ROUND(T363*IF(D363="Christmas",Notes!$B$9,Notes!$B$8),0))</x:f>
        <x:v>56</x:v>
      </x:c>
      <x:c r="V363" s="2" t="n">
        <x:f>IF(A363&lt;DATE(2025,12,1),"",ABS(T363-F363))</x:f>
        <x:v>1</x:v>
      </x:c>
      <x:c r="W363" s="2" t="n">
        <x:f>IF(A363&lt;DATE(2025,12,1),"",ABS(U363-F363))</x:f>
        <x:v>1</x:v>
      </x:c>
      <x:c r="X363" s="2" t="n">
        <x:f>IF(A363&lt;DATE(2025,12,1),"",T363-F363)</x:f>
        <x:v>-1</x:v>
      </x:c>
      <x:c r="Y363" s="2" t="n">
        <x:f>IF(A363&lt;DATE(2025,12,1),"",U363-F363)</x:f>
        <x:v>1</x:v>
      </x:c>
      <x:c r="Z363" s="2" t="n">
        <x:f>IF(N363&gt;0,1,0)</x:f>
        <x:v>0</x:v>
      </x:c>
    </x:row>
    <x:row r="364" ht="21" customHeight="1">
      <x:c r="A364" s="6" t="n">
        <x:f>'Daily inputs'!A364</x:f>
        <x:v>46022</x:v>
      </x:c>
      <x:c r="B364" s="2" t="str">
        <x:f>'Daily inputs'!B364</x:f>
        <x:v>I03</x:v>
      </x:c>
      <x:c r="C364" s="2" t="n">
        <x:f>'Daily inputs'!C364</x:f>
        <x:v>3</x:v>
      </x:c>
      <x:c r="D364" s="2" t="str">
        <x:f>'Daily inputs'!D364</x:f>
        <x:v>December normal</x:v>
      </x:c>
      <x:c r="E364" s="7" t="n">
        <x:f>'Daily inputs'!E364</x:f>
        <x:v>7.5</x:v>
      </x:c>
      <x:c r="F364" s="2" t="n">
        <x:f>'Daily inputs'!F364</x:f>
        <x:v>34</x:v>
      </x:c>
      <x:c r="G364" s="2" t="n">
        <x:f>'Daily inputs'!G364</x:f>
        <x:v>5</x:v>
      </x:c>
      <x:c r="H364" s="2" t="n">
        <x:f>'Daily inputs'!H364</x:f>
        <x:v>34</x:v>
      </x:c>
      <x:c r="I364" s="2" t="n">
        <x:f>'Daily inputs'!I364</x:f>
        <x:v>0</x:v>
      </x:c>
      <x:c r="J364" s="2" t="n">
        <x:f>'Daily inputs'!J364</x:f>
        <x:v>0</x:v>
      </x:c>
      <x:c r="K364" s="2" t="n">
        <x:f>'Daily inputs'!K364</x:f>
        <x:v>0</x:v>
      </x:c>
      <x:c r="L364" s="2" t="n">
        <x:f>MIN(F364,G364+H364-I364)</x:f>
        <x:v>34</x:v>
      </x:c>
      <x:c r="M364" s="2" t="n">
        <x:f>G364+H364-L364-I364</x:f>
        <x:v>5</x:v>
      </x:c>
      <x:c r="N364" s="2" t="n">
        <x:f>F364-L364</x:f>
        <x:v>0</x:v>
      </x:c>
      <x:c r="O364" s="2" t="n">
        <x:f>N364-J364</x:f>
        <x:v>0</x:v>
      </x:c>
      <x:c r="P364" s="2" t="n">
        <x:f>L364+I364</x:f>
        <x:v>34</x:v>
      </x:c>
      <x:c r="Q364" s="8" t="n">
        <x:f>P364*E364</x:f>
        <x:v>255</x:v>
      </x:c>
      <x:c r="R364" s="8" t="n">
        <x:f>I364*E364</x:f>
        <x:v>0</x:v>
      </x:c>
      <x:c r="S364" s="8" t="n">
        <x:f>O364*E364</x:f>
        <x:v>0</x:v>
      </x:c>
      <x:c r="T364" s="2" t="n">
        <x:f>IF(A364&lt;DATE(2025,12,1),"",IF(D364="Closed",0,ROUND(AVERAGEIFS('Daily inputs'!$F$2:$F$367,'Daily inputs'!$B$2:$B$367,B364,'Daily inputs'!$C$2:$C$367,C364,'Daily inputs'!$D$2:$D$367,"Training"),0)))</x:f>
        <x:v>32</x:v>
      </x:c>
      <x:c r="U364" s="2" t="n">
        <x:f>IF(A364&lt;DATE(2025,12,1),"",ROUND(T364*IF(D364="Christmas",Notes!$B$9,Notes!$B$8),0))</x:f>
        <x:v>33</x:v>
      </x:c>
      <x:c r="V364" s="2" t="n">
        <x:f>IF(A364&lt;DATE(2025,12,1),"",ABS(T364-F364))</x:f>
        <x:v>2</x:v>
      </x:c>
      <x:c r="W364" s="2" t="n">
        <x:f>IF(A364&lt;DATE(2025,12,1),"",ABS(U364-F364))</x:f>
        <x:v>1</x:v>
      </x:c>
      <x:c r="X364" s="2" t="n">
        <x:f>IF(A364&lt;DATE(2025,12,1),"",T364-F364)</x:f>
        <x:v>-2</x:v>
      </x:c>
      <x:c r="Y364" s="2" t="n">
        <x:f>IF(A364&lt;DATE(2025,12,1),"",U364-F364)</x:f>
        <x:v>-1</x:v>
      </x:c>
      <x:c r="Z364" s="2" t="n">
        <x:f>IF(N364&gt;0,1,0)</x:f>
        <x:v>0</x:v>
      </x:c>
    </x:row>
    <x:row r="365" ht="21" customHeight="1">
      <x:c r="A365" s="6" t="n">
        <x:f>'Daily inputs'!A365</x:f>
        <x:v>46022</x:v>
      </x:c>
      <x:c r="B365" s="2" t="str">
        <x:f>'Daily inputs'!B365</x:f>
        <x:v>I04</x:v>
      </x:c>
      <x:c r="C365" s="2" t="n">
        <x:f>'Daily inputs'!C365</x:f>
        <x:v>3</x:v>
      </x:c>
      <x:c r="D365" s="2" t="str">
        <x:f>'Daily inputs'!D365</x:f>
        <x:v>December normal</x:v>
      </x:c>
      <x:c r="E365" s="7" t="n">
        <x:f>'Daily inputs'!E365</x:f>
        <x:v>9</x:v>
      </x:c>
      <x:c r="F365" s="2" t="n">
        <x:f>'Daily inputs'!F365</x:f>
        <x:v>37</x:v>
      </x:c>
      <x:c r="G365" s="2" t="n">
        <x:f>'Daily inputs'!G365</x:f>
        <x:v>6</x:v>
      </x:c>
      <x:c r="H365" s="2" t="n">
        <x:f>'Daily inputs'!H365</x:f>
        <x:v>37</x:v>
      </x:c>
      <x:c r="I365" s="2" t="n">
        <x:f>'Daily inputs'!I365</x:f>
        <x:v>0</x:v>
      </x:c>
      <x:c r="J365" s="2" t="n">
        <x:f>'Daily inputs'!J365</x:f>
        <x:v>0</x:v>
      </x:c>
      <x:c r="K365" s="2" t="n">
        <x:f>'Daily inputs'!K365</x:f>
        <x:v>0</x:v>
      </x:c>
      <x:c r="L365" s="2" t="n">
        <x:f>MIN(F365,G365+H365-I365)</x:f>
        <x:v>37</x:v>
      </x:c>
      <x:c r="M365" s="2" t="n">
        <x:f>G365+H365-L365-I365</x:f>
        <x:v>6</x:v>
      </x:c>
      <x:c r="N365" s="2" t="n">
        <x:f>F365-L365</x:f>
        <x:v>0</x:v>
      </x:c>
      <x:c r="O365" s="2" t="n">
        <x:f>N365-J365</x:f>
        <x:v>0</x:v>
      </x:c>
      <x:c r="P365" s="2" t="n">
        <x:f>L365+I365</x:f>
        <x:v>37</x:v>
      </x:c>
      <x:c r="Q365" s="8" t="n">
        <x:f>P365*E365</x:f>
        <x:v>333</x:v>
      </x:c>
      <x:c r="R365" s="8" t="n">
        <x:f>I365*E365</x:f>
        <x:v>0</x:v>
      </x:c>
      <x:c r="S365" s="8" t="n">
        <x:f>O365*E365</x:f>
        <x:v>0</x:v>
      </x:c>
      <x:c r="T365" s="2" t="n">
        <x:f>IF(A365&lt;DATE(2025,12,1),"",IF(D365="Closed",0,ROUND(AVERAGEIFS('Daily inputs'!$F$2:$F$367,'Daily inputs'!$B$2:$B$367,B365,'Daily inputs'!$C$2:$C$367,C365,'Daily inputs'!$D$2:$D$367,"Training"),0)))</x:f>
        <x:v>37</x:v>
      </x:c>
      <x:c r="U365" s="2" t="n">
        <x:f>IF(A365&lt;DATE(2025,12,1),"",ROUND(T365*IF(D365="Christmas",Notes!$B$9,Notes!$B$8),0))</x:f>
        <x:v>38</x:v>
      </x:c>
      <x:c r="V365" s="2" t="n">
        <x:f>IF(A365&lt;DATE(2025,12,1),"",ABS(T365-F365))</x:f>
        <x:v>0</x:v>
      </x:c>
      <x:c r="W365" s="2" t="n">
        <x:f>IF(A365&lt;DATE(2025,12,1),"",ABS(U365-F365))</x:f>
        <x:v>1</x:v>
      </x:c>
      <x:c r="X365" s="2" t="n">
        <x:f>IF(A365&lt;DATE(2025,12,1),"",T365-F365)</x:f>
        <x:v>0</x:v>
      </x:c>
      <x:c r="Y365" s="2" t="n">
        <x:f>IF(A365&lt;DATE(2025,12,1),"",U365-F365)</x:f>
        <x:v>1</x:v>
      </x:c>
      <x:c r="Z365" s="2" t="n">
        <x:f>IF(N365&gt;0,1,0)</x:f>
        <x:v>0</x:v>
      </x:c>
    </x:row>
    <x:row r="366" ht="21" customHeight="1">
      <x:c r="A366" s="6" t="n">
        <x:f>'Daily inputs'!A366</x:f>
        <x:v>46022</x:v>
      </x:c>
      <x:c r="B366" s="2" t="str">
        <x:f>'Daily inputs'!B366</x:f>
        <x:v>I05</x:v>
      </x:c>
      <x:c r="C366" s="2" t="n">
        <x:f>'Daily inputs'!C366</x:f>
        <x:v>3</x:v>
      </x:c>
      <x:c r="D366" s="2" t="str">
        <x:f>'Daily inputs'!D366</x:f>
        <x:v>December normal</x:v>
      </x:c>
      <x:c r="E366" s="7" t="n">
        <x:f>'Daily inputs'!E366</x:f>
        <x:v>3.5</x:v>
      </x:c>
      <x:c r="F366" s="2" t="n">
        <x:f>'Daily inputs'!F366</x:f>
        <x:v>84</x:v>
      </x:c>
      <x:c r="G366" s="2" t="n">
        <x:f>'Daily inputs'!G366</x:f>
        <x:v>12</x:v>
      </x:c>
      <x:c r="H366" s="2" t="n">
        <x:f>'Daily inputs'!H366</x:f>
        <x:v>85</x:v>
      </x:c>
      <x:c r="I366" s="2" t="n">
        <x:f>'Daily inputs'!I366</x:f>
        <x:v>0</x:v>
      </x:c>
      <x:c r="J366" s="2" t="n">
        <x:f>'Daily inputs'!J366</x:f>
        <x:v>0</x:v>
      </x:c>
      <x:c r="K366" s="2" t="n">
        <x:f>'Daily inputs'!K366</x:f>
        <x:v>0</x:v>
      </x:c>
      <x:c r="L366" s="2" t="n">
        <x:f>MIN(F366,G366+H366-I366)</x:f>
        <x:v>84</x:v>
      </x:c>
      <x:c r="M366" s="2" t="n">
        <x:f>G366+H366-L366-I366</x:f>
        <x:v>13</x:v>
      </x:c>
      <x:c r="N366" s="2" t="n">
        <x:f>F366-L366</x:f>
        <x:v>0</x:v>
      </x:c>
      <x:c r="O366" s="2" t="n">
        <x:f>N366-J366</x:f>
        <x:v>0</x:v>
      </x:c>
      <x:c r="P366" s="2" t="n">
        <x:f>L366+I366</x:f>
        <x:v>84</x:v>
      </x:c>
      <x:c r="Q366" s="8" t="n">
        <x:f>P366*E366</x:f>
        <x:v>294</x:v>
      </x:c>
      <x:c r="R366" s="8" t="n">
        <x:f>I366*E366</x:f>
        <x:v>0</x:v>
      </x:c>
      <x:c r="S366" s="8" t="n">
        <x:f>O366*E366</x:f>
        <x:v>0</x:v>
      </x:c>
      <x:c r="T366" s="2" t="n">
        <x:f>IF(A366&lt;DATE(2025,12,1),"",IF(D366="Closed",0,ROUND(AVERAGEIFS('Daily inputs'!$F$2:$F$367,'Daily inputs'!$B$2:$B$367,B366,'Daily inputs'!$C$2:$C$367,C366,'Daily inputs'!$D$2:$D$367,"Training"),0)))</x:f>
        <x:v>76</x:v>
      </x:c>
      <x:c r="U366" s="2" t="n">
        <x:f>IF(A366&lt;DATE(2025,12,1),"",ROUND(T366*IF(D366="Christmas",Notes!$B$9,Notes!$B$8),0))</x:f>
        <x:v>79</x:v>
      </x:c>
      <x:c r="V366" s="2" t="n">
        <x:f>IF(A366&lt;DATE(2025,12,1),"",ABS(T366-F366))</x:f>
        <x:v>8</x:v>
      </x:c>
      <x:c r="W366" s="2" t="n">
        <x:f>IF(A366&lt;DATE(2025,12,1),"",ABS(U366-F366))</x:f>
        <x:v>5</x:v>
      </x:c>
      <x:c r="X366" s="2" t="n">
        <x:f>IF(A366&lt;DATE(2025,12,1),"",T366-F366)</x:f>
        <x:v>-8</x:v>
      </x:c>
      <x:c r="Y366" s="2" t="n">
        <x:f>IF(A366&lt;DATE(2025,12,1),"",U366-F366)</x:f>
        <x:v>-5</x:v>
      </x:c>
      <x:c r="Z366" s="2" t="n">
        <x:f>IF(N366&gt;0,1,0)</x:f>
        <x:v>0</x:v>
      </x:c>
    </x:row>
    <x:row r="367" ht="21" customHeight="1">
      <x:c r="A367" s="6" t="n">
        <x:f>'Daily inputs'!A367</x:f>
        <x:v>46022</x:v>
      </x:c>
      <x:c r="B367" s="2" t="str">
        <x:f>'Daily inputs'!B367</x:f>
        <x:v>I06</x:v>
      </x:c>
      <x:c r="C367" s="2" t="n">
        <x:f>'Daily inputs'!C367</x:f>
        <x:v>3</x:v>
      </x:c>
      <x:c r="D367" s="2" t="str">
        <x:f>'Daily inputs'!D367</x:f>
        <x:v>December normal</x:v>
      </x:c>
      <x:c r="E367" s="7" t="n">
        <x:f>'Daily inputs'!E367</x:f>
        <x:v>3</x:v>
      </x:c>
      <x:c r="F367" s="2" t="n">
        <x:f>'Daily inputs'!F367</x:f>
        <x:v>30</x:v>
      </x:c>
      <x:c r="G367" s="2" t="n">
        <x:f>'Daily inputs'!G367</x:f>
        <x:v>4</x:v>
      </x:c>
      <x:c r="H367" s="2" t="n">
        <x:f>'Daily inputs'!H367</x:f>
        <x:v>31</x:v>
      </x:c>
      <x:c r="I367" s="2" t="n">
        <x:f>'Daily inputs'!I367</x:f>
        <x:v>0</x:v>
      </x:c>
      <x:c r="J367" s="2" t="n">
        <x:f>'Daily inputs'!J367</x:f>
        <x:v>0</x:v>
      </x:c>
      <x:c r="K367" s="2" t="n">
        <x:f>'Daily inputs'!K367</x:f>
        <x:v>0</x:v>
      </x:c>
      <x:c r="L367" s="2" t="n">
        <x:f>MIN(F367,G367+H367-I367)</x:f>
        <x:v>30</x:v>
      </x:c>
      <x:c r="M367" s="2" t="n">
        <x:f>G367+H367-L367-I367</x:f>
        <x:v>5</x:v>
      </x:c>
      <x:c r="N367" s="2" t="n">
        <x:f>F367-L367</x:f>
        <x:v>0</x:v>
      </x:c>
      <x:c r="O367" s="2" t="n">
        <x:f>N367-J367</x:f>
        <x:v>0</x:v>
      </x:c>
      <x:c r="P367" s="2" t="n">
        <x:f>L367+I367</x:f>
        <x:v>30</x:v>
      </x:c>
      <x:c r="Q367" s="8" t="n">
        <x:f>P367*E367</x:f>
        <x:v>90</x:v>
      </x:c>
      <x:c r="R367" s="8" t="n">
        <x:f>I367*E367</x:f>
        <x:v>0</x:v>
      </x:c>
      <x:c r="S367" s="8" t="n">
        <x:f>O367*E367</x:f>
        <x:v>0</x:v>
      </x:c>
      <x:c r="T367" s="2" t="n">
        <x:f>IF(A367&lt;DATE(2025,12,1),"",IF(D367="Closed",0,ROUND(AVERAGEIFS('Daily inputs'!$F$2:$F$367,'Daily inputs'!$B$2:$B$367,B367,'Daily inputs'!$C$2:$C$367,C367,'Daily inputs'!$D$2:$D$367,"Training"),0)))</x:f>
        <x:v>29</x:v>
      </x:c>
      <x:c r="U367" s="2" t="n">
        <x:f>IF(A367&lt;DATE(2025,12,1),"",ROUND(T367*IF(D367="Christmas",Notes!$B$9,Notes!$B$8),0))</x:f>
        <x:v>30</x:v>
      </x:c>
      <x:c r="V367" s="2" t="n">
        <x:f>IF(A367&lt;DATE(2025,12,1),"",ABS(T367-F367))</x:f>
        <x:v>1</x:v>
      </x:c>
      <x:c r="W367" s="2" t="n">
        <x:f>IF(A367&lt;DATE(2025,12,1),"",ABS(U367-F367))</x:f>
        <x:v>0</x:v>
      </x:c>
      <x:c r="X367" s="2" t="n">
        <x:f>IF(A367&lt;DATE(2025,12,1),"",T367-F367)</x:f>
        <x:v>-1</x:v>
      </x:c>
      <x:c r="Y367" s="2" t="n">
        <x:f>IF(A367&lt;DATE(2025,12,1),"",U367-F367)</x:f>
        <x:v>0</x:v>
      </x:c>
      <x:c r="Z367" s="2" t="n">
        <x:f>IF(N367&gt;0,1,0)</x:f>
        <x:v>0</x:v>
      </x:c>
    </x:row>
  </x:sheetData>
  <x:conditionalFormatting sqref="N2:O367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6d734f163c49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8" customHeight="1">
      <x:c r="A1" s="5" t="str">
        <x:v>Date</x:v>
      </x:c>
      <x:c r="B1" s="5" t="str">
        <x:v>ItemID</x:v>
      </x:c>
      <x:c r="C1" s="5" t="str">
        <x:v>Weekday</x:v>
      </x:c>
      <x:c r="D1" s="5" t="str">
        <x:v>Period</x:v>
      </x:c>
      <x:c r="E1" s="5" t="str">
        <x:v>PriceGBP</x:v>
      </x:c>
      <x:c r="F1" s="5" t="str">
        <x:v>DemandUnits</x:v>
      </x:c>
      <x:c r="G1" s="5" t="str">
        <x:v>OpeningUnits</x:v>
      </x:c>
      <x:c r="H1" s="5" t="str">
        <x:v>ReceiptUnits</x:v>
      </x:c>
      <x:c r="I1" s="5" t="str">
        <x:v>TransferInUnits</x:v>
      </x:c>
      <x:c r="J1" s="5" t="str">
        <x:v>TransferOutUnits</x:v>
      </x:c>
      <x:c r="K1" s="5" t="str">
        <x:v>StockoutHours</x:v>
      </x:c>
    </x:row>
    <x:row r="2" ht="21" customHeight="1">
      <x:c r="A2" s="6" t="n">
        <x:v>45962</x:v>
      </x:c>
      <x:c r="B2" s="2" t="str">
        <x:v>I01</x:v>
      </x:c>
      <x:c r="C2" s="2" t="n">
        <x:v>6</x:v>
      </x:c>
      <x:c r="D2" s="2" t="str">
        <x:v>Training</x:v>
      </x:c>
      <x:c r="E2" s="7" t="n">
        <x:v>8.5</x:v>
      </x:c>
      <x:c r="F2" s="2" t="n">
        <x:v>98</x:v>
      </x:c>
      <x:c r="G2" s="2" t="n">
        <x:v>80</x:v>
      </x:c>
      <x:c r="H2" s="2" t="n">
        <x:v>33</x:v>
      </x:c>
      <x:c r="I2" s="2" t="n">
        <x:v>0</x:v>
      </x:c>
      <x:c r="J2" s="2" t="n">
        <x:v>0</x:v>
      </x:c>
      <x:c r="K2" s="2" t="n">
        <x:v>0</x:v>
      </x:c>
    </x:row>
    <x:row r="3" ht="21" customHeight="1">
      <x:c r="A3" s="6" t="n">
        <x:v>45962</x:v>
      </x:c>
      <x:c r="B3" s="2" t="str">
        <x:v>I02</x:v>
      </x:c>
      <x:c r="C3" s="2" t="n">
        <x:v>6</x:v>
      </x:c>
      <x:c r="D3" s="2" t="str">
        <x:v>Training</x:v>
      </x:c>
      <x:c r="E3" s="7" t="n">
        <x:v>8</x:v>
      </x:c>
      <x:c r="F3" s="2" t="n">
        <x:v>78</x:v>
      </x:c>
      <x:c r="G3" s="2" t="n">
        <x:v>65</x:v>
      </x:c>
      <x:c r="H3" s="2" t="n">
        <x:v>25</x:v>
      </x:c>
      <x:c r="I3" s="2" t="n">
        <x:v>0</x:v>
      </x:c>
      <x:c r="J3" s="2" t="n">
        <x:v>0</x:v>
      </x:c>
      <x:c r="K3" s="2" t="n">
        <x:v>0</x:v>
      </x:c>
    </x:row>
    <x:row r="4" ht="21" customHeight="1">
      <x:c r="A4" s="6" t="n">
        <x:v>45962</x:v>
      </x:c>
      <x:c r="B4" s="2" t="str">
        <x:v>I03</x:v>
      </x:c>
      <x:c r="C4" s="2" t="n">
        <x:v>6</x:v>
      </x:c>
      <x:c r="D4" s="2" t="str">
        <x:v>Training</x:v>
      </x:c>
      <x:c r="E4" s="7" t="n">
        <x:v>7.5</x:v>
      </x:c>
      <x:c r="F4" s="2" t="n">
        <x:v>43</x:v>
      </x:c>
      <x:c r="G4" s="2" t="n">
        <x:v>45</x:v>
      </x:c>
      <x:c r="H4" s="2" t="n">
        <x:v>4</x:v>
      </x:c>
      <x:c r="I4" s="2" t="n">
        <x:v>0</x:v>
      </x:c>
      <x:c r="J4" s="2" t="n">
        <x:v>0</x:v>
      </x:c>
      <x:c r="K4" s="2" t="n">
        <x:v>0</x:v>
      </x:c>
    </x:row>
    <x:row r="5" ht="21" customHeight="1">
      <x:c r="A5" s="6" t="n">
        <x:v>45962</x:v>
      </x:c>
      <x:c r="B5" s="2" t="str">
        <x:v>I04</x:v>
      </x:c>
      <x:c r="C5" s="2" t="n">
        <x:v>6</x:v>
      </x:c>
      <x:c r="D5" s="2" t="str">
        <x:v>Training</x:v>
      </x:c>
      <x:c r="E5" s="7" t="n">
        <x:v>9</x:v>
      </x:c>
      <x:c r="F5" s="2" t="n">
        <x:v>54</x:v>
      </x:c>
      <x:c r="G5" s="2" t="n">
        <x:v>50</x:v>
      </x:c>
      <x:c r="H5" s="2" t="n">
        <x:v>12</x:v>
      </x:c>
      <x:c r="I5" s="2" t="n">
        <x:v>0</x:v>
      </x:c>
      <x:c r="J5" s="2" t="n">
        <x:v>0</x:v>
      </x:c>
      <x:c r="K5" s="2" t="n">
        <x:v>0</x:v>
      </x:c>
    </x:row>
    <x:row r="6" ht="21" customHeight="1">
      <x:c r="A6" s="6" t="n">
        <x:v>45962</x:v>
      </x:c>
      <x:c r="B6" s="2" t="str">
        <x:v>I05</x:v>
      </x:c>
      <x:c r="C6" s="2" t="n">
        <x:v>6</x:v>
      </x:c>
      <x:c r="D6" s="2" t="str">
        <x:v>Training</x:v>
      </x:c>
      <x:c r="E6" s="7" t="n">
        <x:v>3.5</x:v>
      </x:c>
      <x:c r="F6" s="2" t="n">
        <x:v>111</x:v>
      </x:c>
      <x:c r="G6" s="2" t="n">
        <x:v>90</x:v>
      </x:c>
      <x:c r="H6" s="2" t="n">
        <x:v>38</x:v>
      </x:c>
      <x:c r="I6" s="2" t="n">
        <x:v>0</x:v>
      </x:c>
      <x:c r="J6" s="2" t="n">
        <x:v>0</x:v>
      </x:c>
      <x:c r="K6" s="2" t="n">
        <x:v>0</x:v>
      </x:c>
    </x:row>
    <x:row r="7" ht="21" customHeight="1">
      <x:c r="A7" s="6" t="n">
        <x:v>45962</x:v>
      </x:c>
      <x:c r="B7" s="2" t="str">
        <x:v>I06</x:v>
      </x:c>
      <x:c r="C7" s="2" t="n">
        <x:v>6</x:v>
      </x:c>
      <x:c r="D7" s="2" t="str">
        <x:v>Training</x:v>
      </x:c>
      <x:c r="E7" s="7" t="n">
        <x:v>3</x:v>
      </x:c>
      <x:c r="F7" s="2" t="n">
        <x:v>41</x:v>
      </x:c>
      <x:c r="G7" s="2" t="n">
        <x:v>40</x:v>
      </x:c>
      <x:c r="H7" s="2" t="n">
        <x:v>7</x:v>
      </x:c>
      <x:c r="I7" s="2" t="n">
        <x:v>0</x:v>
      </x:c>
      <x:c r="J7" s="2" t="n">
        <x:v>0</x:v>
      </x:c>
      <x:c r="K7" s="2" t="n">
        <x:v>0</x:v>
      </x:c>
    </x:row>
    <x:row r="8" ht="21" customHeight="1">
      <x:c r="A8" s="6" t="n">
        <x:v>45963</x:v>
      </x:c>
      <x:c r="B8" s="2" t="str">
        <x:v>I01</x:v>
      </x:c>
      <x:c r="C8" s="2" t="n">
        <x:v>7</x:v>
      </x:c>
      <x:c r="D8" s="2" t="str">
        <x:v>Training</x:v>
      </x:c>
      <x:c r="E8" s="7" t="n">
        <x:v>8.5</x:v>
      </x:c>
      <x:c r="F8" s="2" t="n">
        <x:v>75</x:v>
      </x:c>
      <x:c r="G8" s="2" t="n">
        <x:v>15</x:v>
      </x:c>
      <x:c r="H8" s="2" t="n">
        <x:v>71</x:v>
      </x:c>
      <x:c r="I8" s="2" t="n">
        <x:v>0</x:v>
      </x:c>
      <x:c r="J8" s="2" t="n">
        <x:v>0</x:v>
      </x:c>
      <x:c r="K8" s="2" t="n">
        <x:v>0</x:v>
      </x:c>
    </x:row>
    <x:row r="9" ht="21" customHeight="1">
      <x:c r="A9" s="6" t="n">
        <x:v>45963</x:v>
      </x:c>
      <x:c r="B9" s="2" t="str">
        <x:v>I02</x:v>
      </x:c>
      <x:c r="C9" s="2" t="n">
        <x:v>7</x:v>
      </x:c>
      <x:c r="D9" s="2" t="str">
        <x:v>Training</x:v>
      </x:c>
      <x:c r="E9" s="7" t="n">
        <x:v>8</x:v>
      </x:c>
      <x:c r="F9" s="2" t="n">
        <x:v>60</x:v>
      </x:c>
      <x:c r="G9" s="2" t="n">
        <x:v>12</x:v>
      </x:c>
      <x:c r="H9" s="2" t="n">
        <x:v>57</x:v>
      </x:c>
      <x:c r="I9" s="2" t="n">
        <x:v>0</x:v>
      </x:c>
      <x:c r="J9" s="2" t="n">
        <x:v>0</x:v>
      </x:c>
      <x:c r="K9" s="2" t="n">
        <x:v>0</x:v>
      </x:c>
    </x:row>
    <x:row r="10" ht="21" customHeight="1">
      <x:c r="A10" s="6" t="n">
        <x:v>45963</x:v>
      </x:c>
      <x:c r="B10" s="2" t="str">
        <x:v>I03</x:v>
      </x:c>
      <x:c r="C10" s="2" t="n">
        <x:v>7</x:v>
      </x:c>
      <x:c r="D10" s="2" t="str">
        <x:v>Training</x:v>
      </x:c>
      <x:c r="E10" s="7" t="n">
        <x:v>7.5</x:v>
      </x:c>
      <x:c r="F10" s="2" t="n">
        <x:v>39</x:v>
      </x:c>
      <x:c r="G10" s="2" t="n">
        <x:v>6</x:v>
      </x:c>
      <x:c r="H10" s="2" t="n">
        <x:v>39</x:v>
      </x:c>
      <x:c r="I10" s="2" t="n">
        <x:v>0</x:v>
      </x:c>
      <x:c r="J10" s="2" t="n">
        <x:v>0</x:v>
      </x:c>
      <x:c r="K10" s="2" t="n">
        <x:v>0</x:v>
      </x:c>
    </x:row>
    <x:row r="11" ht="21" customHeight="1">
      <x:c r="A11" s="6" t="n">
        <x:v>45963</x:v>
      </x:c>
      <x:c r="B11" s="2" t="str">
        <x:v>I04</x:v>
      </x:c>
      <x:c r="C11" s="2" t="n">
        <x:v>7</x:v>
      </x:c>
      <x:c r="D11" s="2" t="str">
        <x:v>Training</x:v>
      </x:c>
      <x:c r="E11" s="7" t="n">
        <x:v>9</x:v>
      </x:c>
      <x:c r="F11" s="2" t="n">
        <x:v>46</x:v>
      </x:c>
      <x:c r="G11" s="2" t="n">
        <x:v>8</x:v>
      </x:c>
      <x:c r="H11" s="2" t="n">
        <x:v>45</x:v>
      </x:c>
      <x:c r="I11" s="2" t="n">
        <x:v>0</x:v>
      </x:c>
      <x:c r="J11" s="2" t="n">
        <x:v>0</x:v>
      </x:c>
      <x:c r="K11" s="2" t="n">
        <x:v>0</x:v>
      </x:c>
    </x:row>
    <x:row r="12" ht="21" customHeight="1">
      <x:c r="A12" s="6" t="n">
        <x:v>45963</x:v>
      </x:c>
      <x:c r="B12" s="2" t="str">
        <x:v>I05</x:v>
      </x:c>
      <x:c r="C12" s="2" t="n">
        <x:v>7</x:v>
      </x:c>
      <x:c r="D12" s="2" t="str">
        <x:v>Training</x:v>
      </x:c>
      <x:c r="E12" s="7" t="n">
        <x:v>3.5</x:v>
      </x:c>
      <x:c r="F12" s="2" t="n">
        <x:v>86</x:v>
      </x:c>
      <x:c r="G12" s="2" t="n">
        <x:v>17</x:v>
      </x:c>
      <x:c r="H12" s="2" t="n">
        <x:v>82</x:v>
      </x:c>
      <x:c r="I12" s="2" t="n">
        <x:v>0</x:v>
      </x:c>
      <x:c r="J12" s="2" t="n">
        <x:v>0</x:v>
      </x:c>
      <x:c r="K12" s="2" t="n">
        <x:v>0</x:v>
      </x:c>
    </x:row>
    <x:row r="13" ht="21" customHeight="1">
      <x:c r="A13" s="6" t="n">
        <x:v>45963</x:v>
      </x:c>
      <x:c r="B13" s="2" t="str">
        <x:v>I06</x:v>
      </x:c>
      <x:c r="C13" s="2" t="n">
        <x:v>7</x:v>
      </x:c>
      <x:c r="D13" s="2" t="str">
        <x:v>Training</x:v>
      </x:c>
      <x:c r="E13" s="7" t="n">
        <x:v>3</x:v>
      </x:c>
      <x:c r="F13" s="2" t="n">
        <x:v>34</x:v>
      </x:c>
      <x:c r="G13" s="2" t="n">
        <x:v>6</x:v>
      </x:c>
      <x:c r="H13" s="2" t="n">
        <x:v>33</x:v>
      </x:c>
      <x:c r="I13" s="2" t="n">
        <x:v>0</x:v>
      </x:c>
      <x:c r="J13" s="2" t="n">
        <x:v>0</x:v>
      </x:c>
      <x:c r="K13" s="2" t="n">
        <x:v>0</x:v>
      </x:c>
    </x:row>
    <x:row r="14" ht="21" customHeight="1">
      <x:c r="A14" s="6" t="n">
        <x:v>45964</x:v>
      </x:c>
      <x:c r="B14" s="2" t="str">
        <x:v>I01</x:v>
      </x:c>
      <x:c r="C14" s="2" t="n">
        <x:v>1</x:v>
      </x:c>
      <x:c r="D14" s="2" t="str">
        <x:v>Training</x:v>
      </x:c>
      <x:c r="E14" s="7" t="n">
        <x:v>8.5</x:v>
      </x:c>
      <x:c r="F14" s="2" t="n">
        <x:v>58</x:v>
      </x:c>
      <x:c r="G14" s="2" t="n">
        <x:v>11</x:v>
      </x:c>
      <x:c r="H14" s="2" t="n">
        <x:v>56</x:v>
      </x:c>
      <x:c r="I14" s="2" t="n">
        <x:v>0</x:v>
      </x:c>
      <x:c r="J14" s="2" t="n">
        <x:v>0</x:v>
      </x:c>
      <x:c r="K14" s="2" t="n">
        <x:v>0</x:v>
      </x:c>
    </x:row>
    <x:row r="15" ht="21" customHeight="1">
      <x:c r="A15" s="6" t="n">
        <x:v>45964</x:v>
      </x:c>
      <x:c r="B15" s="2" t="str">
        <x:v>I02</x:v>
      </x:c>
      <x:c r="C15" s="2" t="n">
        <x:v>1</x:v>
      </x:c>
      <x:c r="D15" s="2" t="str">
        <x:v>Training</x:v>
      </x:c>
      <x:c r="E15" s="7" t="n">
        <x:v>8</x:v>
      </x:c>
      <x:c r="F15" s="2" t="n">
        <x:v>50</x:v>
      </x:c>
      <x:c r="G15" s="2" t="n">
        <x:v>9</x:v>
      </x:c>
      <x:c r="H15" s="2" t="n">
        <x:v>48</x:v>
      </x:c>
      <x:c r="I15" s="2" t="n">
        <x:v>0</x:v>
      </x:c>
      <x:c r="J15" s="2" t="n">
        <x:v>0</x:v>
      </x:c>
      <x:c r="K15" s="2" t="n">
        <x:v>0</x:v>
      </x:c>
    </x:row>
    <x:row r="16" ht="21" customHeight="1">
      <x:c r="A16" s="6" t="n">
        <x:v>45964</x:v>
      </x:c>
      <x:c r="B16" s="2" t="str">
        <x:v>I03</x:v>
      </x:c>
      <x:c r="C16" s="2" t="n">
        <x:v>1</x:v>
      </x:c>
      <x:c r="D16" s="2" t="str">
        <x:v>Training</x:v>
      </x:c>
      <x:c r="E16" s="7" t="n">
        <x:v>7.5</x:v>
      </x:c>
      <x:c r="F16" s="2" t="n">
        <x:v>30</x:v>
      </x:c>
      <x:c r="G16" s="2" t="n">
        <x:v>6</x:v>
      </x:c>
      <x:c r="H16" s="2" t="n">
        <x:v>29</x:v>
      </x:c>
      <x:c r="I16" s="2" t="n">
        <x:v>0</x:v>
      </x:c>
      <x:c r="J16" s="2" t="n">
        <x:v>0</x:v>
      </x:c>
      <x:c r="K16" s="2" t="n">
        <x:v>0</x:v>
      </x:c>
    </x:row>
    <x:row r="17" ht="21" customHeight="1">
      <x:c r="A17" s="6" t="n">
        <x:v>45964</x:v>
      </x:c>
      <x:c r="B17" s="2" t="str">
        <x:v>I04</x:v>
      </x:c>
      <x:c r="C17" s="2" t="n">
        <x:v>1</x:v>
      </x:c>
      <x:c r="D17" s="2" t="str">
        <x:v>Training</x:v>
      </x:c>
      <x:c r="E17" s="7" t="n">
        <x:v>9</x:v>
      </x:c>
      <x:c r="F17" s="2" t="n">
        <x:v>32</x:v>
      </x:c>
      <x:c r="G17" s="2" t="n">
        <x:v>7</x:v>
      </x:c>
      <x:c r="H17" s="2" t="n">
        <x:v>30</x:v>
      </x:c>
      <x:c r="I17" s="2" t="n">
        <x:v>0</x:v>
      </x:c>
      <x:c r="J17" s="2" t="n">
        <x:v>0</x:v>
      </x:c>
      <x:c r="K17" s="2" t="n">
        <x:v>0</x:v>
      </x:c>
    </x:row>
    <x:row r="18" ht="21" customHeight="1">
      <x:c r="A18" s="6" t="n">
        <x:v>45964</x:v>
      </x:c>
      <x:c r="B18" s="2" t="str">
        <x:v>I05</x:v>
      </x:c>
      <x:c r="C18" s="2" t="n">
        <x:v>1</x:v>
      </x:c>
      <x:c r="D18" s="2" t="str">
        <x:v>Training</x:v>
      </x:c>
      <x:c r="E18" s="7" t="n">
        <x:v>3.5</x:v>
      </x:c>
      <x:c r="F18" s="2" t="n">
        <x:v>70</x:v>
      </x:c>
      <x:c r="G18" s="2" t="n">
        <x:v>13</x:v>
      </x:c>
      <x:c r="H18" s="2" t="n">
        <x:v>68</x:v>
      </x:c>
      <x:c r="I18" s="2" t="n">
        <x:v>0</x:v>
      </x:c>
      <x:c r="J18" s="2" t="n">
        <x:v>0</x:v>
      </x:c>
      <x:c r="K18" s="2" t="n">
        <x:v>0</x:v>
      </x:c>
    </x:row>
    <x:row r="19" ht="21" customHeight="1">
      <x:c r="A19" s="6" t="n">
        <x:v>45964</x:v>
      </x:c>
      <x:c r="B19" s="2" t="str">
        <x:v>I06</x:v>
      </x:c>
      <x:c r="C19" s="2" t="n">
        <x:v>1</x:v>
      </x:c>
      <x:c r="D19" s="2" t="str">
        <x:v>Training</x:v>
      </x:c>
      <x:c r="E19" s="7" t="n">
        <x:v>3</x:v>
      </x:c>
      <x:c r="F19" s="2" t="n">
        <x:v>26</x:v>
      </x:c>
      <x:c r="G19" s="2" t="n">
        <x:v>5</x:v>
      </x:c>
      <x:c r="H19" s="2" t="n">
        <x:v>25</x:v>
      </x:c>
      <x:c r="I19" s="2" t="n">
        <x:v>0</x:v>
      </x:c>
      <x:c r="J19" s="2" t="n">
        <x:v>0</x:v>
      </x:c>
      <x:c r="K19" s="2" t="n">
        <x:v>0</x:v>
      </x:c>
    </x:row>
    <x:row r="20" ht="21" customHeight="1">
      <x:c r="A20" s="6" t="n">
        <x:v>45965</x:v>
      </x:c>
      <x:c r="B20" s="2" t="str">
        <x:v>I01</x:v>
      </x:c>
      <x:c r="C20" s="2" t="n">
        <x:v>2</x:v>
      </x:c>
      <x:c r="D20" s="2" t="str">
        <x:v>Training</x:v>
      </x:c>
      <x:c r="E20" s="7" t="n">
        <x:v>8.5</x:v>
      </x:c>
      <x:c r="F20" s="2" t="n">
        <x:v>65</x:v>
      </x:c>
      <x:c r="G20" s="2" t="n">
        <x:v>9</x:v>
      </x:c>
      <x:c r="H20" s="2" t="n">
        <x:v>66</x:v>
      </x:c>
      <x:c r="I20" s="2" t="n">
        <x:v>0</x:v>
      </x:c>
      <x:c r="J20" s="2" t="n">
        <x:v>0</x:v>
      </x:c>
      <x:c r="K20" s="2" t="n">
        <x:v>0</x:v>
      </x:c>
    </x:row>
    <x:row r="21" ht="21" customHeight="1">
      <x:c r="A21" s="6" t="n">
        <x:v>45965</x:v>
      </x:c>
      <x:c r="B21" s="2" t="str">
        <x:v>I02</x:v>
      </x:c>
      <x:c r="C21" s="2" t="n">
        <x:v>2</x:v>
      </x:c>
      <x:c r="D21" s="2" t="str">
        <x:v>Training</x:v>
      </x:c>
      <x:c r="E21" s="7" t="n">
        <x:v>8</x:v>
      </x:c>
      <x:c r="F21" s="2" t="n">
        <x:v>50</x:v>
      </x:c>
      <x:c r="G21" s="2" t="n">
        <x:v>7</x:v>
      </x:c>
      <x:c r="H21" s="2" t="n">
        <x:v>50</x:v>
      </x:c>
      <x:c r="I21" s="2" t="n">
        <x:v>0</x:v>
      </x:c>
      <x:c r="J21" s="2" t="n">
        <x:v>0</x:v>
      </x:c>
      <x:c r="K21" s="2" t="n">
        <x:v>0</x:v>
      </x:c>
    </x:row>
    <x:row r="22" ht="21" customHeight="1">
      <x:c r="A22" s="6" t="n">
        <x:v>45965</x:v>
      </x:c>
      <x:c r="B22" s="2" t="str">
        <x:v>I03</x:v>
      </x:c>
      <x:c r="C22" s="2" t="n">
        <x:v>2</x:v>
      </x:c>
      <x:c r="D22" s="2" t="str">
        <x:v>Training</x:v>
      </x:c>
      <x:c r="E22" s="7" t="n">
        <x:v>7.5</x:v>
      </x:c>
      <x:c r="F22" s="2" t="n">
        <x:v>32</x:v>
      </x:c>
      <x:c r="G22" s="2" t="n">
        <x:v>5</x:v>
      </x:c>
      <x:c r="H22" s="2" t="n">
        <x:v>32</x:v>
      </x:c>
      <x:c r="I22" s="2" t="n">
        <x:v>0</x:v>
      </x:c>
      <x:c r="J22" s="2" t="n">
        <x:v>0</x:v>
      </x:c>
      <x:c r="K22" s="2" t="n">
        <x:v>0</x:v>
      </x:c>
    </x:row>
    <x:row r="23" ht="21" customHeight="1">
      <x:c r="A23" s="6" t="n">
        <x:v>45965</x:v>
      </x:c>
      <x:c r="B23" s="2" t="str">
        <x:v>I04</x:v>
      </x:c>
      <x:c r="C23" s="2" t="n">
        <x:v>2</x:v>
      </x:c>
      <x:c r="D23" s="2" t="str">
        <x:v>Training</x:v>
      </x:c>
      <x:c r="E23" s="7" t="n">
        <x:v>9</x:v>
      </x:c>
      <x:c r="F23" s="2" t="n">
        <x:v>38</x:v>
      </x:c>
      <x:c r="G23" s="2" t="n">
        <x:v>5</x:v>
      </x:c>
      <x:c r="H23" s="2" t="n">
        <x:v>39</x:v>
      </x:c>
      <x:c r="I23" s="2" t="n">
        <x:v>0</x:v>
      </x:c>
      <x:c r="J23" s="2" t="n">
        <x:v>0</x:v>
      </x:c>
      <x:c r="K23" s="2" t="n">
        <x:v>0</x:v>
      </x:c>
    </x:row>
    <x:row r="24" ht="21" customHeight="1">
      <x:c r="A24" s="6" t="n">
        <x:v>45965</x:v>
      </x:c>
      <x:c r="B24" s="2" t="str">
        <x:v>I05</x:v>
      </x:c>
      <x:c r="C24" s="2" t="n">
        <x:v>2</x:v>
      </x:c>
      <x:c r="D24" s="2" t="str">
        <x:v>Training</x:v>
      </x:c>
      <x:c r="E24" s="7" t="n">
        <x:v>3.5</x:v>
      </x:c>
      <x:c r="F24" s="2" t="n">
        <x:v>76</x:v>
      </x:c>
      <x:c r="G24" s="2" t="n">
        <x:v>11</x:v>
      </x:c>
      <x:c r="H24" s="2" t="n">
        <x:v>76</x:v>
      </x:c>
      <x:c r="I24" s="2" t="n">
        <x:v>0</x:v>
      </x:c>
      <x:c r="J24" s="2" t="n">
        <x:v>0</x:v>
      </x:c>
      <x:c r="K24" s="2" t="n">
        <x:v>0</x:v>
      </x:c>
    </x:row>
    <x:row r="25" ht="21" customHeight="1">
      <x:c r="A25" s="6" t="n">
        <x:v>45965</x:v>
      </x:c>
      <x:c r="B25" s="2" t="str">
        <x:v>I06</x:v>
      </x:c>
      <x:c r="C25" s="2" t="n">
        <x:v>2</x:v>
      </x:c>
      <x:c r="D25" s="2" t="str">
        <x:v>Training</x:v>
      </x:c>
      <x:c r="E25" s="7" t="n">
        <x:v>3</x:v>
      </x:c>
      <x:c r="F25" s="2" t="n">
        <x:v>28</x:v>
      </x:c>
      <x:c r="G25" s="2" t="n">
        <x:v>4</x:v>
      </x:c>
      <x:c r="H25" s="2" t="n">
        <x:v>28</x:v>
      </x:c>
      <x:c r="I25" s="2" t="n">
        <x:v>0</x:v>
      </x:c>
      <x:c r="J25" s="2" t="n">
        <x:v>0</x:v>
      </x:c>
      <x:c r="K25" s="2" t="n">
        <x:v>0</x:v>
      </x:c>
    </x:row>
    <x:row r="26" ht="21" customHeight="1">
      <x:c r="A26" s="6" t="n">
        <x:v>45966</x:v>
      </x:c>
      <x:c r="B26" s="2" t="str">
        <x:v>I01</x:v>
      </x:c>
      <x:c r="C26" s="2" t="n">
        <x:v>3</x:v>
      </x:c>
      <x:c r="D26" s="2" t="str">
        <x:v>Training</x:v>
      </x:c>
      <x:c r="E26" s="7" t="n">
        <x:v>8.5</x:v>
      </x:c>
      <x:c r="F26" s="2" t="n">
        <x:v>64</x:v>
      </x:c>
      <x:c r="G26" s="2" t="n">
        <x:v>10</x:v>
      </x:c>
      <x:c r="H26" s="2" t="n">
        <x:v>64</x:v>
      </x:c>
      <x:c r="I26" s="2" t="n">
        <x:v>0</x:v>
      </x:c>
      <x:c r="J26" s="2" t="n">
        <x:v>0</x:v>
      </x:c>
      <x:c r="K26" s="2" t="n">
        <x:v>0</x:v>
      </x:c>
    </x:row>
    <x:row r="27" ht="21" customHeight="1">
      <x:c r="A27" s="6" t="n">
        <x:v>45966</x:v>
      </x:c>
      <x:c r="B27" s="2" t="str">
        <x:v>I02</x:v>
      </x:c>
      <x:c r="C27" s="2" t="n">
        <x:v>3</x:v>
      </x:c>
      <x:c r="D27" s="2" t="str">
        <x:v>Training</x:v>
      </x:c>
      <x:c r="E27" s="7" t="n">
        <x:v>8</x:v>
      </x:c>
      <x:c r="F27" s="2" t="n">
        <x:v>53</x:v>
      </x:c>
      <x:c r="G27" s="2" t="n">
        <x:v>7</x:v>
      </x:c>
      <x:c r="H27" s="2" t="n">
        <x:v>54</x:v>
      </x:c>
      <x:c r="I27" s="2" t="n">
        <x:v>0</x:v>
      </x:c>
      <x:c r="J27" s="2" t="n">
        <x:v>0</x:v>
      </x:c>
      <x:c r="K27" s="2" t="n">
        <x:v>0</x:v>
      </x:c>
    </x:row>
    <x:row r="28" ht="21" customHeight="1">
      <x:c r="A28" s="6" t="n">
        <x:v>45966</x:v>
      </x:c>
      <x:c r="B28" s="2" t="str">
        <x:v>I03</x:v>
      </x:c>
      <x:c r="C28" s="2" t="n">
        <x:v>3</x:v>
      </x:c>
      <x:c r="D28" s="2" t="str">
        <x:v>Training</x:v>
      </x:c>
      <x:c r="E28" s="7" t="n">
        <x:v>7.5</x:v>
      </x:c>
      <x:c r="F28" s="2" t="n">
        <x:v>31</x:v>
      </x:c>
      <x:c r="G28" s="2" t="n">
        <x:v>5</x:v>
      </x:c>
      <x:c r="H28" s="2" t="n">
        <x:v>31</x:v>
      </x:c>
      <x:c r="I28" s="2" t="n">
        <x:v>0</x:v>
      </x:c>
      <x:c r="J28" s="2" t="n">
        <x:v>0</x:v>
      </x:c>
      <x:c r="K28" s="2" t="n">
        <x:v>0</x:v>
      </x:c>
    </x:row>
    <x:row r="29" ht="21" customHeight="1">
      <x:c r="A29" s="6" t="n">
        <x:v>45966</x:v>
      </x:c>
      <x:c r="B29" s="2" t="str">
        <x:v>I04</x:v>
      </x:c>
      <x:c r="C29" s="2" t="n">
        <x:v>3</x:v>
      </x:c>
      <x:c r="D29" s="2" t="str">
        <x:v>Training</x:v>
      </x:c>
      <x:c r="E29" s="7" t="n">
        <x:v>9</x:v>
      </x:c>
      <x:c r="F29" s="2" t="n">
        <x:v>37</x:v>
      </x:c>
      <x:c r="G29" s="2" t="n">
        <x:v>6</x:v>
      </x:c>
      <x:c r="H29" s="2" t="n">
        <x:v>37</x:v>
      </x:c>
      <x:c r="I29" s="2" t="n">
        <x:v>0</x:v>
      </x:c>
      <x:c r="J29" s="2" t="n">
        <x:v>0</x:v>
      </x:c>
      <x:c r="K29" s="2" t="n">
        <x:v>0</x:v>
      </x:c>
    </x:row>
    <x:row r="30" ht="21" customHeight="1">
      <x:c r="A30" s="6" t="n">
        <x:v>45966</x:v>
      </x:c>
      <x:c r="B30" s="2" t="str">
        <x:v>I05</x:v>
      </x:c>
      <x:c r="C30" s="2" t="n">
        <x:v>3</x:v>
      </x:c>
      <x:c r="D30" s="2" t="str">
        <x:v>Training</x:v>
      </x:c>
      <x:c r="E30" s="7" t="n">
        <x:v>3.5</x:v>
      </x:c>
      <x:c r="F30" s="2" t="n">
        <x:v>77</x:v>
      </x:c>
      <x:c r="G30" s="2" t="n">
        <x:v>11</x:v>
      </x:c>
      <x:c r="H30" s="2" t="n">
        <x:v>78</x:v>
      </x:c>
      <x:c r="I30" s="2" t="n">
        <x:v>0</x:v>
      </x:c>
      <x:c r="J30" s="2" t="n">
        <x:v>0</x:v>
      </x:c>
      <x:c r="K30" s="2" t="n">
        <x:v>0</x:v>
      </x:c>
    </x:row>
    <x:row r="31" ht="21" customHeight="1">
      <x:c r="A31" s="6" t="n">
        <x:v>45966</x:v>
      </x:c>
      <x:c r="B31" s="2" t="str">
        <x:v>I06</x:v>
      </x:c>
      <x:c r="C31" s="2" t="n">
        <x:v>3</x:v>
      </x:c>
      <x:c r="D31" s="2" t="str">
        <x:v>Training</x:v>
      </x:c>
      <x:c r="E31" s="7" t="n">
        <x:v>3</x:v>
      </x:c>
      <x:c r="F31" s="2" t="n">
        <x:v>28</x:v>
      </x:c>
      <x:c r="G31" s="2" t="n">
        <x:v>4</x:v>
      </x:c>
      <x:c r="H31" s="2" t="n">
        <x:v>28</x:v>
      </x:c>
      <x:c r="I31" s="2" t="n">
        <x:v>0</x:v>
      </x:c>
      <x:c r="J31" s="2" t="n">
        <x:v>0</x:v>
      </x:c>
      <x:c r="K31" s="2" t="n">
        <x:v>0</x:v>
      </x:c>
    </x:row>
    <x:row r="32" ht="21" customHeight="1">
      <x:c r="A32" s="6" t="n">
        <x:v>45967</x:v>
      </x:c>
      <x:c r="B32" s="2" t="str">
        <x:v>I01</x:v>
      </x:c>
      <x:c r="C32" s="2" t="n">
        <x:v>4</x:v>
      </x:c>
      <x:c r="D32" s="2" t="str">
        <x:v>Training</x:v>
      </x:c>
      <x:c r="E32" s="7" t="n">
        <x:v>8.5</x:v>
      </x:c>
      <x:c r="F32" s="2" t="n">
        <x:v>70</x:v>
      </x:c>
      <x:c r="G32" s="2" t="n">
        <x:v>10</x:v>
      </x:c>
      <x:c r="H32" s="2" t="n">
        <x:v>71</x:v>
      </x:c>
      <x:c r="I32" s="2" t="n">
        <x:v>0</x:v>
      </x:c>
      <x:c r="J32" s="2" t="n">
        <x:v>0</x:v>
      </x:c>
      <x:c r="K32" s="2" t="n">
        <x:v>0</x:v>
      </x:c>
    </x:row>
    <x:row r="33" ht="21" customHeight="1">
      <x:c r="A33" s="6" t="n">
        <x:v>45967</x:v>
      </x:c>
      <x:c r="B33" s="2" t="str">
        <x:v>I02</x:v>
      </x:c>
      <x:c r="C33" s="2" t="n">
        <x:v>4</x:v>
      </x:c>
      <x:c r="D33" s="2" t="str">
        <x:v>Training</x:v>
      </x:c>
      <x:c r="E33" s="7" t="n">
        <x:v>8</x:v>
      </x:c>
      <x:c r="F33" s="2" t="n">
        <x:v>56</x:v>
      </x:c>
      <x:c r="G33" s="2" t="n">
        <x:v>8</x:v>
      </x:c>
      <x:c r="H33" s="2" t="n">
        <x:v>56</x:v>
      </x:c>
      <x:c r="I33" s="2" t="n">
        <x:v>0</x:v>
      </x:c>
      <x:c r="J33" s="2" t="n">
        <x:v>0</x:v>
      </x:c>
      <x:c r="K33" s="2" t="n">
        <x:v>0</x:v>
      </x:c>
    </x:row>
    <x:row r="34" ht="21" customHeight="1">
      <x:c r="A34" s="6" t="n">
        <x:v>45967</x:v>
      </x:c>
      <x:c r="B34" s="2" t="str">
        <x:v>I03</x:v>
      </x:c>
      <x:c r="C34" s="2" t="n">
        <x:v>4</x:v>
      </x:c>
      <x:c r="D34" s="2" t="str">
        <x:v>Training</x:v>
      </x:c>
      <x:c r="E34" s="7" t="n">
        <x:v>7.5</x:v>
      </x:c>
      <x:c r="F34" s="2" t="n">
        <x:v>35</x:v>
      </x:c>
      <x:c r="G34" s="2" t="n">
        <x:v>5</x:v>
      </x:c>
      <x:c r="H34" s="2" t="n">
        <x:v>35</x:v>
      </x:c>
      <x:c r="I34" s="2" t="n">
        <x:v>0</x:v>
      </x:c>
      <x:c r="J34" s="2" t="n">
        <x:v>0</x:v>
      </x:c>
      <x:c r="K34" s="2" t="n">
        <x:v>0</x:v>
      </x:c>
    </x:row>
    <x:row r="35" ht="21" customHeight="1">
      <x:c r="A35" s="6" t="n">
        <x:v>45967</x:v>
      </x:c>
      <x:c r="B35" s="2" t="str">
        <x:v>I04</x:v>
      </x:c>
      <x:c r="C35" s="2" t="n">
        <x:v>4</x:v>
      </x:c>
      <x:c r="D35" s="2" t="str">
        <x:v>Training</x:v>
      </x:c>
      <x:c r="E35" s="7" t="n">
        <x:v>9</x:v>
      </x:c>
      <x:c r="F35" s="2" t="n">
        <x:v>40</x:v>
      </x:c>
      <x:c r="G35" s="2" t="n">
        <x:v>6</x:v>
      </x:c>
      <x:c r="H35" s="2" t="n">
        <x:v>40</x:v>
      </x:c>
      <x:c r="I35" s="2" t="n">
        <x:v>0</x:v>
      </x:c>
      <x:c r="J35" s="2" t="n">
        <x:v>0</x:v>
      </x:c>
      <x:c r="K35" s="2" t="n">
        <x:v>0</x:v>
      </x:c>
    </x:row>
    <x:row r="36" ht="21" customHeight="1">
      <x:c r="A36" s="6" t="n">
        <x:v>45967</x:v>
      </x:c>
      <x:c r="B36" s="2" t="str">
        <x:v>I05</x:v>
      </x:c>
      <x:c r="C36" s="2" t="n">
        <x:v>4</x:v>
      </x:c>
      <x:c r="D36" s="2" t="str">
        <x:v>Training</x:v>
      </x:c>
      <x:c r="E36" s="7" t="n">
        <x:v>3.5</x:v>
      </x:c>
      <x:c r="F36" s="2" t="n">
        <x:v>84</x:v>
      </x:c>
      <x:c r="G36" s="2" t="n">
        <x:v>12</x:v>
      </x:c>
      <x:c r="H36" s="2" t="n">
        <x:v>85</x:v>
      </x:c>
      <x:c r="I36" s="2" t="n">
        <x:v>0</x:v>
      </x:c>
      <x:c r="J36" s="2" t="n">
        <x:v>0</x:v>
      </x:c>
      <x:c r="K36" s="2" t="n">
        <x:v>0</x:v>
      </x:c>
    </x:row>
    <x:row r="37" ht="21" customHeight="1">
      <x:c r="A37" s="6" t="n">
        <x:v>45967</x:v>
      </x:c>
      <x:c r="B37" s="2" t="str">
        <x:v>I06</x:v>
      </x:c>
      <x:c r="C37" s="2" t="n">
        <x:v>4</x:v>
      </x:c>
      <x:c r="D37" s="2" t="str">
        <x:v>Training</x:v>
      </x:c>
      <x:c r="E37" s="7" t="n">
        <x:v>3</x:v>
      </x:c>
      <x:c r="F37" s="2" t="n">
        <x:v>32</x:v>
      </x:c>
      <x:c r="G37" s="2" t="n">
        <x:v>4</x:v>
      </x:c>
      <x:c r="H37" s="2" t="n">
        <x:v>33</x:v>
      </x:c>
      <x:c r="I37" s="2" t="n">
        <x:v>0</x:v>
      </x:c>
      <x:c r="J37" s="2" t="n">
        <x:v>0</x:v>
      </x:c>
      <x:c r="K37" s="2" t="n">
        <x:v>0</x:v>
      </x:c>
    </x:row>
    <x:row r="38" ht="21" customHeight="1">
      <x:c r="A38" s="6" t="n">
        <x:v>45968</x:v>
      </x:c>
      <x:c r="B38" s="2" t="str">
        <x:v>I01</x:v>
      </x:c>
      <x:c r="C38" s="2" t="n">
        <x:v>5</x:v>
      </x:c>
      <x:c r="D38" s="2" t="str">
        <x:v>Training</x:v>
      </x:c>
      <x:c r="E38" s="7" t="n">
        <x:v>8.5</x:v>
      </x:c>
      <x:c r="F38" s="2" t="n">
        <x:v>88</x:v>
      </x:c>
      <x:c r="G38" s="2" t="n">
        <x:v>11</x:v>
      </x:c>
      <x:c r="H38" s="2" t="n">
        <x:v>90</x:v>
      </x:c>
      <x:c r="I38" s="2" t="n">
        <x:v>0</x:v>
      </x:c>
      <x:c r="J38" s="2" t="n">
        <x:v>0</x:v>
      </x:c>
      <x:c r="K38" s="2" t="n">
        <x:v>0</x:v>
      </x:c>
    </x:row>
    <x:row r="39" ht="21" customHeight="1">
      <x:c r="A39" s="6" t="n">
        <x:v>45968</x:v>
      </x:c>
      <x:c r="B39" s="2" t="str">
        <x:v>I02</x:v>
      </x:c>
      <x:c r="C39" s="2" t="n">
        <x:v>5</x:v>
      </x:c>
      <x:c r="D39" s="2" t="str">
        <x:v>Training</x:v>
      </x:c>
      <x:c r="E39" s="7" t="n">
        <x:v>8</x:v>
      </x:c>
      <x:c r="F39" s="2" t="n">
        <x:v>69</x:v>
      </x:c>
      <x:c r="G39" s="2" t="n">
        <x:v>8</x:v>
      </x:c>
      <x:c r="H39" s="2" t="n">
        <x:v>71</x:v>
      </x:c>
      <x:c r="I39" s="2" t="n">
        <x:v>0</x:v>
      </x:c>
      <x:c r="J39" s="2" t="n">
        <x:v>0</x:v>
      </x:c>
      <x:c r="K39" s="2" t="n">
        <x:v>0</x:v>
      </x:c>
    </x:row>
    <x:row r="40" ht="21" customHeight="1">
      <x:c r="A40" s="6" t="n">
        <x:v>45968</x:v>
      </x:c>
      <x:c r="B40" s="2" t="str">
        <x:v>I03</x:v>
      </x:c>
      <x:c r="C40" s="2" t="n">
        <x:v>5</x:v>
      </x:c>
      <x:c r="D40" s="2" t="str">
        <x:v>Training</x:v>
      </x:c>
      <x:c r="E40" s="7" t="n">
        <x:v>7.5</x:v>
      </x:c>
      <x:c r="F40" s="2" t="n">
        <x:v>41</x:v>
      </x:c>
      <x:c r="G40" s="2" t="n">
        <x:v>5</x:v>
      </x:c>
      <x:c r="H40" s="2" t="n">
        <x:v>42</x:v>
      </x:c>
      <x:c r="I40" s="2" t="n">
        <x:v>0</x:v>
      </x:c>
      <x:c r="J40" s="2" t="n">
        <x:v>0</x:v>
      </x:c>
      <x:c r="K40" s="2" t="n">
        <x:v>0</x:v>
      </x:c>
    </x:row>
    <x:row r="41" ht="21" customHeight="1">
      <x:c r="A41" s="6" t="n">
        <x:v>45968</x:v>
      </x:c>
      <x:c r="B41" s="2" t="str">
        <x:v>I04</x:v>
      </x:c>
      <x:c r="C41" s="2" t="n">
        <x:v>5</x:v>
      </x:c>
      <x:c r="D41" s="2" t="str">
        <x:v>Training</x:v>
      </x:c>
      <x:c r="E41" s="7" t="n">
        <x:v>9</x:v>
      </x:c>
      <x:c r="F41" s="2" t="n">
        <x:v>47</x:v>
      </x:c>
      <x:c r="G41" s="2" t="n">
        <x:v>6</x:v>
      </x:c>
      <x:c r="H41" s="2" t="n">
        <x:v>48</x:v>
      </x:c>
      <x:c r="I41" s="2" t="n">
        <x:v>0</x:v>
      </x:c>
      <x:c r="J41" s="2" t="n">
        <x:v>0</x:v>
      </x:c>
      <x:c r="K41" s="2" t="n">
        <x:v>0</x:v>
      </x:c>
    </x:row>
    <x:row r="42" ht="21" customHeight="1">
      <x:c r="A42" s="6" t="n">
        <x:v>45968</x:v>
      </x:c>
      <x:c r="B42" s="2" t="str">
        <x:v>I05</x:v>
      </x:c>
      <x:c r="C42" s="2" t="n">
        <x:v>5</x:v>
      </x:c>
      <x:c r="D42" s="2" t="str">
        <x:v>Training</x:v>
      </x:c>
      <x:c r="E42" s="7" t="n">
        <x:v>3.5</x:v>
      </x:c>
      <x:c r="F42" s="2" t="n">
        <x:v>93</x:v>
      </x:c>
      <x:c r="G42" s="2" t="n">
        <x:v>13</x:v>
      </x:c>
      <x:c r="H42" s="2" t="n">
        <x:v>94</x:v>
      </x:c>
      <x:c r="I42" s="2" t="n">
        <x:v>0</x:v>
      </x:c>
      <x:c r="J42" s="2" t="n">
        <x:v>0</x:v>
      </x:c>
      <x:c r="K42" s="2" t="n">
        <x:v>0</x:v>
      </x:c>
    </x:row>
    <x:row r="43" ht="21" customHeight="1">
      <x:c r="A43" s="6" t="n">
        <x:v>45968</x:v>
      </x:c>
      <x:c r="B43" s="2" t="str">
        <x:v>I06</x:v>
      </x:c>
      <x:c r="C43" s="2" t="n">
        <x:v>5</x:v>
      </x:c>
      <x:c r="D43" s="2" t="str">
        <x:v>Training</x:v>
      </x:c>
      <x:c r="E43" s="7" t="n">
        <x:v>3</x:v>
      </x:c>
      <x:c r="F43" s="2" t="n">
        <x:v>37</x:v>
      </x:c>
      <x:c r="G43" s="2" t="n">
        <x:v>5</x:v>
      </x:c>
      <x:c r="H43" s="2" t="n">
        <x:v>38</x:v>
      </x:c>
      <x:c r="I43" s="2" t="n">
        <x:v>0</x:v>
      </x:c>
      <x:c r="J43" s="2" t="n">
        <x:v>0</x:v>
      </x:c>
      <x:c r="K43" s="2" t="n">
        <x:v>0</x:v>
      </x:c>
    </x:row>
    <x:row r="44" ht="21" customHeight="1">
      <x:c r="A44" s="6" t="n">
        <x:v>45969</x:v>
      </x:c>
      <x:c r="B44" s="2" t="str">
        <x:v>I01</x:v>
      </x:c>
      <x:c r="C44" s="2" t="n">
        <x:v>6</x:v>
      </x:c>
      <x:c r="D44" s="2" t="str">
        <x:v>Training</x:v>
      </x:c>
      <x:c r="E44" s="7" t="n">
        <x:v>8.5</x:v>
      </x:c>
      <x:c r="F44" s="2" t="n">
        <x:v>92</x:v>
      </x:c>
      <x:c r="G44" s="2" t="n">
        <x:v>13</x:v>
      </x:c>
      <x:c r="H44" s="2" t="n">
        <x:v>93</x:v>
      </x:c>
      <x:c r="I44" s="2" t="n">
        <x:v>0</x:v>
      </x:c>
      <x:c r="J44" s="2" t="n">
        <x:v>0</x:v>
      </x:c>
      <x:c r="K44" s="2" t="n">
        <x:v>0</x:v>
      </x:c>
    </x:row>
    <x:row r="45" ht="21" customHeight="1">
      <x:c r="A45" s="6" t="n">
        <x:v>45969</x:v>
      </x:c>
      <x:c r="B45" s="2" t="str">
        <x:v>I02</x:v>
      </x:c>
      <x:c r="C45" s="2" t="n">
        <x:v>6</x:v>
      </x:c>
      <x:c r="D45" s="2" t="str">
        <x:v>Training</x:v>
      </x:c>
      <x:c r="E45" s="7" t="n">
        <x:v>8</x:v>
      </x:c>
      <x:c r="F45" s="2" t="n">
        <x:v>79</x:v>
      </x:c>
      <x:c r="G45" s="2" t="n">
        <x:v>10</x:v>
      </x:c>
      <x:c r="H45" s="2" t="n">
        <x:v>81</x:v>
      </x:c>
      <x:c r="I45" s="2" t="n">
        <x:v>0</x:v>
      </x:c>
      <x:c r="J45" s="2" t="n">
        <x:v>0</x:v>
      </x:c>
      <x:c r="K45" s="2" t="n">
        <x:v>0</x:v>
      </x:c>
    </x:row>
    <x:row r="46" ht="21" customHeight="1">
      <x:c r="A46" s="6" t="n">
        <x:v>45969</x:v>
      </x:c>
      <x:c r="B46" s="2" t="str">
        <x:v>I03</x:v>
      </x:c>
      <x:c r="C46" s="2" t="n">
        <x:v>6</x:v>
      </x:c>
      <x:c r="D46" s="2" t="str">
        <x:v>Training</x:v>
      </x:c>
      <x:c r="E46" s="7" t="n">
        <x:v>7.5</x:v>
      </x:c>
      <x:c r="F46" s="2" t="n">
        <x:v>46</x:v>
      </x:c>
      <x:c r="G46" s="2" t="n">
        <x:v>6</x:v>
      </x:c>
      <x:c r="H46" s="2" t="n">
        <x:v>47</x:v>
      </x:c>
      <x:c r="I46" s="2" t="n">
        <x:v>0</x:v>
      </x:c>
      <x:c r="J46" s="2" t="n">
        <x:v>0</x:v>
      </x:c>
      <x:c r="K46" s="2" t="n">
        <x:v>0</x:v>
      </x:c>
    </x:row>
    <x:row r="47" ht="21" customHeight="1">
      <x:c r="A47" s="6" t="n">
        <x:v>45969</x:v>
      </x:c>
      <x:c r="B47" s="2" t="str">
        <x:v>I04</x:v>
      </x:c>
      <x:c r="C47" s="2" t="n">
        <x:v>6</x:v>
      </x:c>
      <x:c r="D47" s="2" t="str">
        <x:v>Training</x:v>
      </x:c>
      <x:c r="E47" s="7" t="n">
        <x:v>9</x:v>
      </x:c>
      <x:c r="F47" s="2" t="n">
        <x:v>51</x:v>
      </x:c>
      <x:c r="G47" s="2" t="n">
        <x:v>7</x:v>
      </x:c>
      <x:c r="H47" s="2" t="n">
        <x:v>52</x:v>
      </x:c>
      <x:c r="I47" s="2" t="n">
        <x:v>0</x:v>
      </x:c>
      <x:c r="J47" s="2" t="n">
        <x:v>0</x:v>
      </x:c>
      <x:c r="K47" s="2" t="n">
        <x:v>0</x:v>
      </x:c>
    </x:row>
    <x:row r="48" ht="21" customHeight="1">
      <x:c r="A48" s="6" t="n">
        <x:v>45969</x:v>
      </x:c>
      <x:c r="B48" s="2" t="str">
        <x:v>I05</x:v>
      </x:c>
      <x:c r="C48" s="2" t="n">
        <x:v>6</x:v>
      </x:c>
      <x:c r="D48" s="2" t="str">
        <x:v>Training</x:v>
      </x:c>
      <x:c r="E48" s="7" t="n">
        <x:v>3.5</x:v>
      </x:c>
      <x:c r="F48" s="2" t="n">
        <x:v>103</x:v>
      </x:c>
      <x:c r="G48" s="2" t="n">
        <x:v>14</x:v>
      </x:c>
      <x:c r="H48" s="2" t="n">
        <x:v>104</x:v>
      </x:c>
      <x:c r="I48" s="2" t="n">
        <x:v>0</x:v>
      </x:c>
      <x:c r="J48" s="2" t="n">
        <x:v>0</x:v>
      </x:c>
      <x:c r="K48" s="2" t="n">
        <x:v>0</x:v>
      </x:c>
    </x:row>
    <x:row r="49" ht="21" customHeight="1">
      <x:c r="A49" s="6" t="n">
        <x:v>45969</x:v>
      </x:c>
      <x:c r="B49" s="2" t="str">
        <x:v>I06</x:v>
      </x:c>
      <x:c r="C49" s="2" t="n">
        <x:v>6</x:v>
      </x:c>
      <x:c r="D49" s="2" t="str">
        <x:v>Training</x:v>
      </x:c>
      <x:c r="E49" s="7" t="n">
        <x:v>3</x:v>
      </x:c>
      <x:c r="F49" s="2" t="n">
        <x:v>39</x:v>
      </x:c>
      <x:c r="G49" s="2" t="n">
        <x:v>6</x:v>
      </x:c>
      <x:c r="H49" s="2" t="n">
        <x:v>39</x:v>
      </x:c>
      <x:c r="I49" s="2" t="n">
        <x:v>0</x:v>
      </x:c>
      <x:c r="J49" s="2" t="n">
        <x:v>0</x:v>
      </x:c>
      <x:c r="K49" s="2" t="n">
        <x:v>0</x:v>
      </x:c>
    </x:row>
    <x:row r="50" ht="21" customHeight="1">
      <x:c r="A50" s="6" t="n">
        <x:v>45970</x:v>
      </x:c>
      <x:c r="B50" s="2" t="str">
        <x:v>I01</x:v>
      </x:c>
      <x:c r="C50" s="2" t="n">
        <x:v>7</x:v>
      </x:c>
      <x:c r="D50" s="2" t="str">
        <x:v>Training</x:v>
      </x:c>
      <x:c r="E50" s="7" t="n">
        <x:v>8.5</x:v>
      </x:c>
      <x:c r="F50" s="2" t="n">
        <x:v>78</x:v>
      </x:c>
      <x:c r="G50" s="2" t="n">
        <x:v>14</x:v>
      </x:c>
      <x:c r="H50" s="2" t="n">
        <x:v>76</x:v>
      </x:c>
      <x:c r="I50" s="2" t="n">
        <x:v>0</x:v>
      </x:c>
      <x:c r="J50" s="2" t="n">
        <x:v>0</x:v>
      </x:c>
      <x:c r="K50" s="2" t="n">
        <x:v>0</x:v>
      </x:c>
    </x:row>
    <x:row r="51" ht="21" customHeight="1">
      <x:c r="A51" s="6" t="n">
        <x:v>45970</x:v>
      </x:c>
      <x:c r="B51" s="2" t="str">
        <x:v>I02</x:v>
      </x:c>
      <x:c r="C51" s="2" t="n">
        <x:v>7</x:v>
      </x:c>
      <x:c r="D51" s="2" t="str">
        <x:v>Training</x:v>
      </x:c>
      <x:c r="E51" s="7" t="n">
        <x:v>8</x:v>
      </x:c>
      <x:c r="F51" s="2" t="n">
        <x:v>65</x:v>
      </x:c>
      <x:c r="G51" s="2" t="n">
        <x:v>12</x:v>
      </x:c>
      <x:c r="H51" s="2" t="n">
        <x:v>63</x:v>
      </x:c>
      <x:c r="I51" s="2" t="n">
        <x:v>0</x:v>
      </x:c>
      <x:c r="J51" s="2" t="n">
        <x:v>0</x:v>
      </x:c>
      <x:c r="K51" s="2" t="n">
        <x:v>0</x:v>
      </x:c>
    </x:row>
    <x:row r="52" ht="21" customHeight="1">
      <x:c r="A52" s="6" t="n">
        <x:v>45970</x:v>
      </x:c>
      <x:c r="B52" s="2" t="str">
        <x:v>I03</x:v>
      </x:c>
      <x:c r="C52" s="2" t="n">
        <x:v>7</x:v>
      </x:c>
      <x:c r="D52" s="2" t="str">
        <x:v>Training</x:v>
      </x:c>
      <x:c r="E52" s="7" t="n">
        <x:v>7.5</x:v>
      </x:c>
      <x:c r="F52" s="2" t="n">
        <x:v>36</x:v>
      </x:c>
      <x:c r="G52" s="2" t="n">
        <x:v>7</x:v>
      </x:c>
      <x:c r="H52" s="2" t="n">
        <x:v>34</x:v>
      </x:c>
      <x:c r="I52" s="2" t="n">
        <x:v>0</x:v>
      </x:c>
      <x:c r="J52" s="2" t="n">
        <x:v>0</x:v>
      </x:c>
      <x:c r="K52" s="2" t="n">
        <x:v>0</x:v>
      </x:c>
    </x:row>
    <x:row r="53" ht="21" customHeight="1">
      <x:c r="A53" s="6" t="n">
        <x:v>45970</x:v>
      </x:c>
      <x:c r="B53" s="2" t="str">
        <x:v>I04</x:v>
      </x:c>
      <x:c r="C53" s="2" t="n">
        <x:v>7</x:v>
      </x:c>
      <x:c r="D53" s="2" t="str">
        <x:v>Training</x:v>
      </x:c>
      <x:c r="E53" s="7" t="n">
        <x:v>9</x:v>
      </x:c>
      <x:c r="F53" s="2" t="n">
        <x:v>42</x:v>
      </x:c>
      <x:c r="G53" s="2" t="n">
        <x:v>8</x:v>
      </x:c>
      <x:c r="H53" s="2" t="n">
        <x:v>40</x:v>
      </x:c>
      <x:c r="I53" s="2" t="n">
        <x:v>0</x:v>
      </x:c>
      <x:c r="J53" s="2" t="n">
        <x:v>0</x:v>
      </x:c>
      <x:c r="K53" s="2" t="n">
        <x:v>0</x:v>
      </x:c>
    </x:row>
    <x:row r="54" ht="21" customHeight="1">
      <x:c r="A54" s="6" t="n">
        <x:v>45970</x:v>
      </x:c>
      <x:c r="B54" s="2" t="str">
        <x:v>I05</x:v>
      </x:c>
      <x:c r="C54" s="2" t="n">
        <x:v>7</x:v>
      </x:c>
      <x:c r="D54" s="2" t="str">
        <x:v>Training</x:v>
      </x:c>
      <x:c r="E54" s="7" t="n">
        <x:v>3.5</x:v>
      </x:c>
      <x:c r="F54" s="2" t="n">
        <x:v>91</x:v>
      </x:c>
      <x:c r="G54" s="2" t="n">
        <x:v>15</x:v>
      </x:c>
      <x:c r="H54" s="2" t="n">
        <x:v>90</x:v>
      </x:c>
      <x:c r="I54" s="2" t="n">
        <x:v>0</x:v>
      </x:c>
      <x:c r="J54" s="2" t="n">
        <x:v>0</x:v>
      </x:c>
      <x:c r="K54" s="2" t="n">
        <x:v>0</x:v>
      </x:c>
    </x:row>
    <x:row r="55" ht="21" customHeight="1">
      <x:c r="A55" s="6" t="n">
        <x:v>45970</x:v>
      </x:c>
      <x:c r="B55" s="2" t="str">
        <x:v>I06</x:v>
      </x:c>
      <x:c r="C55" s="2" t="n">
        <x:v>7</x:v>
      </x:c>
      <x:c r="D55" s="2" t="str">
        <x:v>Training</x:v>
      </x:c>
      <x:c r="E55" s="7" t="n">
        <x:v>3</x:v>
      </x:c>
      <x:c r="F55" s="2" t="n">
        <x:v>35</x:v>
      </x:c>
      <x:c r="G55" s="2" t="n">
        <x:v>6</x:v>
      </x:c>
      <x:c r="H55" s="2" t="n">
        <x:v>34</x:v>
      </x:c>
      <x:c r="I55" s="2" t="n">
        <x:v>0</x:v>
      </x:c>
      <x:c r="J55" s="2" t="n">
        <x:v>0</x:v>
      </x:c>
      <x:c r="K55" s="2" t="n">
        <x:v>0</x:v>
      </x:c>
    </x:row>
    <x:row r="56" ht="21" customHeight="1">
      <x:c r="A56" s="6" t="n">
        <x:v>45971</x:v>
      </x:c>
      <x:c r="B56" s="2" t="str">
        <x:v>I01</x:v>
      </x:c>
      <x:c r="C56" s="2" t="n">
        <x:v>1</x:v>
      </x:c>
      <x:c r="D56" s="2" t="str">
        <x:v>Training</x:v>
      </x:c>
      <x:c r="E56" s="7" t="n">
        <x:v>8.5</x:v>
      </x:c>
      <x:c r="F56" s="2" t="n">
        <x:v>58</x:v>
      </x:c>
      <x:c r="G56" s="2" t="n">
        <x:v>12</x:v>
      </x:c>
      <x:c r="H56" s="2" t="n">
        <x:v>55</x:v>
      </x:c>
      <x:c r="I56" s="2" t="n">
        <x:v>0</x:v>
      </x:c>
      <x:c r="J56" s="2" t="n">
        <x:v>0</x:v>
      </x:c>
      <x:c r="K56" s="2" t="n">
        <x:v>0</x:v>
      </x:c>
    </x:row>
    <x:row r="57" ht="21" customHeight="1">
      <x:c r="A57" s="6" t="n">
        <x:v>45971</x:v>
      </x:c>
      <x:c r="B57" s="2" t="str">
        <x:v>I02</x:v>
      </x:c>
      <x:c r="C57" s="2" t="n">
        <x:v>1</x:v>
      </x:c>
      <x:c r="D57" s="2" t="str">
        <x:v>Training</x:v>
      </x:c>
      <x:c r="E57" s="7" t="n">
        <x:v>8</x:v>
      </x:c>
      <x:c r="F57" s="2" t="n">
        <x:v>49</x:v>
      </x:c>
      <x:c r="G57" s="2" t="n">
        <x:v>10</x:v>
      </x:c>
      <x:c r="H57" s="2" t="n">
        <x:v>46</x:v>
      </x:c>
      <x:c r="I57" s="2" t="n">
        <x:v>0</x:v>
      </x:c>
      <x:c r="J57" s="2" t="n">
        <x:v>0</x:v>
      </x:c>
      <x:c r="K57" s="2" t="n">
        <x:v>0</x:v>
      </x:c>
    </x:row>
    <x:row r="58" ht="21" customHeight="1">
      <x:c r="A58" s="6" t="n">
        <x:v>45971</x:v>
      </x:c>
      <x:c r="B58" s="2" t="str">
        <x:v>I03</x:v>
      </x:c>
      <x:c r="C58" s="2" t="n">
        <x:v>1</x:v>
      </x:c>
      <x:c r="D58" s="2" t="str">
        <x:v>Training</x:v>
      </x:c>
      <x:c r="E58" s="7" t="n">
        <x:v>7.5</x:v>
      </x:c>
      <x:c r="F58" s="2" t="n">
        <x:v>29</x:v>
      </x:c>
      <x:c r="G58" s="2" t="n">
        <x:v>5</x:v>
      </x:c>
      <x:c r="H58" s="2" t="n">
        <x:v>28</x:v>
      </x:c>
      <x:c r="I58" s="2" t="n">
        <x:v>0</x:v>
      </x:c>
      <x:c r="J58" s="2" t="n">
        <x:v>0</x:v>
      </x:c>
      <x:c r="K58" s="2" t="n">
        <x:v>0</x:v>
      </x:c>
    </x:row>
    <x:row r="59" ht="21" customHeight="1">
      <x:c r="A59" s="6" t="n">
        <x:v>45971</x:v>
      </x:c>
      <x:c r="B59" s="2" t="str">
        <x:v>I04</x:v>
      </x:c>
      <x:c r="C59" s="2" t="n">
        <x:v>1</x:v>
      </x:c>
      <x:c r="D59" s="2" t="str">
        <x:v>Training</x:v>
      </x:c>
      <x:c r="E59" s="7" t="n">
        <x:v>9</x:v>
      </x:c>
      <x:c r="F59" s="2" t="n">
        <x:v>32</x:v>
      </x:c>
      <x:c r="G59" s="2" t="n">
        <x:v>6</x:v>
      </x:c>
      <x:c r="H59" s="2" t="n">
        <x:v>31</x:v>
      </x:c>
      <x:c r="I59" s="2" t="n">
        <x:v>0</x:v>
      </x:c>
      <x:c r="J59" s="2" t="n">
        <x:v>0</x:v>
      </x:c>
      <x:c r="K59" s="2" t="n">
        <x:v>0</x:v>
      </x:c>
    </x:row>
    <x:row r="60" ht="21" customHeight="1">
      <x:c r="A60" s="6" t="n">
        <x:v>45971</x:v>
      </x:c>
      <x:c r="B60" s="2" t="str">
        <x:v>I05</x:v>
      </x:c>
      <x:c r="C60" s="2" t="n">
        <x:v>1</x:v>
      </x:c>
      <x:c r="D60" s="2" t="str">
        <x:v>Training</x:v>
      </x:c>
      <x:c r="E60" s="7" t="n">
        <x:v>3.5</x:v>
      </x:c>
      <x:c r="F60" s="2" t="n">
        <x:v>69</x:v>
      </x:c>
      <x:c r="G60" s="2" t="n">
        <x:v>14</x:v>
      </x:c>
      <x:c r="H60" s="2" t="n">
        <x:v>65</x:v>
      </x:c>
      <x:c r="I60" s="2" t="n">
        <x:v>0</x:v>
      </x:c>
      <x:c r="J60" s="2" t="n">
        <x:v>0</x:v>
      </x:c>
      <x:c r="K60" s="2" t="n">
        <x:v>0</x:v>
      </x:c>
    </x:row>
    <x:row r="61" ht="21" customHeight="1">
      <x:c r="A61" s="6" t="n">
        <x:v>45971</x:v>
      </x:c>
      <x:c r="B61" s="2" t="str">
        <x:v>I06</x:v>
      </x:c>
      <x:c r="C61" s="2" t="n">
        <x:v>1</x:v>
      </x:c>
      <x:c r="D61" s="2" t="str">
        <x:v>Training</x:v>
      </x:c>
      <x:c r="E61" s="7" t="n">
        <x:v>3</x:v>
      </x:c>
      <x:c r="F61" s="2" t="n">
        <x:v>25</x:v>
      </x:c>
      <x:c r="G61" s="2" t="n">
        <x:v>5</x:v>
      </x:c>
      <x:c r="H61" s="2" t="n">
        <x:v>24</x:v>
      </x:c>
      <x:c r="I61" s="2" t="n">
        <x:v>0</x:v>
      </x:c>
      <x:c r="J61" s="2" t="n">
        <x:v>0</x:v>
      </x:c>
      <x:c r="K61" s="2" t="n">
        <x:v>0</x:v>
      </x:c>
    </x:row>
    <x:row r="62" ht="21" customHeight="1">
      <x:c r="A62" s="6" t="n">
        <x:v>45972</x:v>
      </x:c>
      <x:c r="B62" s="2" t="str">
        <x:v>I01</x:v>
      </x:c>
      <x:c r="C62" s="2" t="n">
        <x:v>2</x:v>
      </x:c>
      <x:c r="D62" s="2" t="str">
        <x:v>Training</x:v>
      </x:c>
      <x:c r="E62" s="7" t="n">
        <x:v>8.5</x:v>
      </x:c>
      <x:c r="F62" s="2" t="n">
        <x:v>65</x:v>
      </x:c>
      <x:c r="G62" s="2" t="n">
        <x:v>9</x:v>
      </x:c>
      <x:c r="H62" s="2" t="n">
        <x:v>66</x:v>
      </x:c>
      <x:c r="I62" s="2" t="n">
        <x:v>0</x:v>
      </x:c>
      <x:c r="J62" s="2" t="n">
        <x:v>0</x:v>
      </x:c>
      <x:c r="K62" s="2" t="n">
        <x:v>0</x:v>
      </x:c>
    </x:row>
    <x:row r="63" ht="21" customHeight="1">
      <x:c r="A63" s="6" t="n">
        <x:v>45972</x:v>
      </x:c>
      <x:c r="B63" s="2" t="str">
        <x:v>I02</x:v>
      </x:c>
      <x:c r="C63" s="2" t="n">
        <x:v>2</x:v>
      </x:c>
      <x:c r="D63" s="2" t="str">
        <x:v>Training</x:v>
      </x:c>
      <x:c r="E63" s="7" t="n">
        <x:v>8</x:v>
      </x:c>
      <x:c r="F63" s="2" t="n">
        <x:v>54</x:v>
      </x:c>
      <x:c r="G63" s="2" t="n">
        <x:v>7</x:v>
      </x:c>
      <x:c r="H63" s="2" t="n">
        <x:v>55</x:v>
      </x:c>
      <x:c r="I63" s="2" t="n">
        <x:v>0</x:v>
      </x:c>
      <x:c r="J63" s="2" t="n">
        <x:v>0</x:v>
      </x:c>
      <x:c r="K63" s="2" t="n">
        <x:v>0</x:v>
      </x:c>
    </x:row>
    <x:row r="64" ht="21" customHeight="1">
      <x:c r="A64" s="6" t="n">
        <x:v>45972</x:v>
      </x:c>
      <x:c r="B64" s="2" t="str">
        <x:v>I03</x:v>
      </x:c>
      <x:c r="C64" s="2" t="n">
        <x:v>2</x:v>
      </x:c>
      <x:c r="D64" s="2" t="str">
        <x:v>Training</x:v>
      </x:c>
      <x:c r="E64" s="7" t="n">
        <x:v>7.5</x:v>
      </x:c>
      <x:c r="F64" s="2" t="n">
        <x:v>30</x:v>
      </x:c>
      <x:c r="G64" s="2" t="n">
        <x:v>4</x:v>
      </x:c>
      <x:c r="H64" s="2" t="n">
        <x:v>31</x:v>
      </x:c>
      <x:c r="I64" s="2" t="n">
        <x:v>0</x:v>
      </x:c>
      <x:c r="J64" s="2" t="n">
        <x:v>0</x:v>
      </x:c>
      <x:c r="K64" s="2" t="n">
        <x:v>0</x:v>
      </x:c>
    </x:row>
    <x:row r="65" ht="21" customHeight="1">
      <x:c r="A65" s="6" t="n">
        <x:v>45972</x:v>
      </x:c>
      <x:c r="B65" s="2" t="str">
        <x:v>I04</x:v>
      </x:c>
      <x:c r="C65" s="2" t="n">
        <x:v>2</x:v>
      </x:c>
      <x:c r="D65" s="2" t="str">
        <x:v>Training</x:v>
      </x:c>
      <x:c r="E65" s="7" t="n">
        <x:v>9</x:v>
      </x:c>
      <x:c r="F65" s="2" t="n">
        <x:v>36</x:v>
      </x:c>
      <x:c r="G65" s="2" t="n">
        <x:v>5</x:v>
      </x:c>
      <x:c r="H65" s="2" t="n">
        <x:v>36</x:v>
      </x:c>
      <x:c r="I65" s="2" t="n">
        <x:v>0</x:v>
      </x:c>
      <x:c r="J65" s="2" t="n">
        <x:v>0</x:v>
      </x:c>
      <x:c r="K65" s="2" t="n">
        <x:v>0</x:v>
      </x:c>
    </x:row>
    <x:row r="66" ht="21" customHeight="1">
      <x:c r="A66" s="6" t="n">
        <x:v>45972</x:v>
      </x:c>
      <x:c r="B66" s="2" t="str">
        <x:v>I05</x:v>
      </x:c>
      <x:c r="C66" s="2" t="n">
        <x:v>2</x:v>
      </x:c>
      <x:c r="D66" s="2" t="str">
        <x:v>Training</x:v>
      </x:c>
      <x:c r="E66" s="7" t="n">
        <x:v>3.5</x:v>
      </x:c>
      <x:c r="F66" s="2" t="n">
        <x:v>72</x:v>
      </x:c>
      <x:c r="G66" s="2" t="n">
        <x:v>10</x:v>
      </x:c>
      <x:c r="H66" s="2" t="n">
        <x:v>73</x:v>
      </x:c>
      <x:c r="I66" s="2" t="n">
        <x:v>0</x:v>
      </x:c>
      <x:c r="J66" s="2" t="n">
        <x:v>0</x:v>
      </x:c>
      <x:c r="K66" s="2" t="n">
        <x:v>0</x:v>
      </x:c>
    </x:row>
    <x:row r="67" ht="21" customHeight="1">
      <x:c r="A67" s="6" t="n">
        <x:v>45972</x:v>
      </x:c>
      <x:c r="B67" s="2" t="str">
        <x:v>I06</x:v>
      </x:c>
      <x:c r="C67" s="2" t="n">
        <x:v>2</x:v>
      </x:c>
      <x:c r="D67" s="2" t="str">
        <x:v>Training</x:v>
      </x:c>
      <x:c r="E67" s="7" t="n">
        <x:v>3</x:v>
      </x:c>
      <x:c r="F67" s="2" t="n">
        <x:v>27</x:v>
      </x:c>
      <x:c r="G67" s="2" t="n">
        <x:v>4</x:v>
      </x:c>
      <x:c r="H67" s="2" t="n">
        <x:v>27</x:v>
      </x:c>
      <x:c r="I67" s="2" t="n">
        <x:v>0</x:v>
      </x:c>
      <x:c r="J67" s="2" t="n">
        <x:v>0</x:v>
      </x:c>
      <x:c r="K67" s="2" t="n">
        <x:v>0</x:v>
      </x:c>
    </x:row>
    <x:row r="68" ht="21" customHeight="1">
      <x:c r="A68" s="6" t="n">
        <x:v>45973</x:v>
      </x:c>
      <x:c r="B68" s="2" t="str">
        <x:v>I01</x:v>
      </x:c>
      <x:c r="C68" s="2" t="n">
        <x:v>3</x:v>
      </x:c>
      <x:c r="D68" s="2" t="str">
        <x:v>Training</x:v>
      </x:c>
      <x:c r="E68" s="7" t="n">
        <x:v>8.5</x:v>
      </x:c>
      <x:c r="F68" s="2" t="n">
        <x:v>69</x:v>
      </x:c>
      <x:c r="G68" s="2" t="n">
        <x:v>10</x:v>
      </x:c>
      <x:c r="H68" s="2" t="n">
        <x:v>69</x:v>
      </x:c>
      <x:c r="I68" s="2" t="n">
        <x:v>0</x:v>
      </x:c>
      <x:c r="J68" s="2" t="n">
        <x:v>0</x:v>
      </x:c>
      <x:c r="K68" s="2" t="n">
        <x:v>0</x:v>
      </x:c>
    </x:row>
    <x:row r="69" ht="21" customHeight="1">
      <x:c r="A69" s="6" t="n">
        <x:v>45973</x:v>
      </x:c>
      <x:c r="B69" s="2" t="str">
        <x:v>I02</x:v>
      </x:c>
      <x:c r="C69" s="2" t="n">
        <x:v>3</x:v>
      </x:c>
      <x:c r="D69" s="2" t="str">
        <x:v>Training</x:v>
      </x:c>
      <x:c r="E69" s="7" t="n">
        <x:v>8</x:v>
      </x:c>
      <x:c r="F69" s="2" t="n">
        <x:v>56</x:v>
      </x:c>
      <x:c r="G69" s="2" t="n">
        <x:v>8</x:v>
      </x:c>
      <x:c r="H69" s="2" t="n">
        <x:v>56</x:v>
      </x:c>
      <x:c r="I69" s="2" t="n">
        <x:v>0</x:v>
      </x:c>
      <x:c r="J69" s="2" t="n">
        <x:v>0</x:v>
      </x:c>
      <x:c r="K69" s="2" t="n">
        <x:v>0</x:v>
      </x:c>
    </x:row>
    <x:row r="70" ht="21" customHeight="1">
      <x:c r="A70" s="6" t="n">
        <x:v>45973</x:v>
      </x:c>
      <x:c r="B70" s="2" t="str">
        <x:v>I03</x:v>
      </x:c>
      <x:c r="C70" s="2" t="n">
        <x:v>3</x:v>
      </x:c>
      <x:c r="D70" s="2" t="str">
        <x:v>Training</x:v>
      </x:c>
      <x:c r="E70" s="7" t="n">
        <x:v>7.5</x:v>
      </x:c>
      <x:c r="F70" s="2" t="n">
        <x:v>33</x:v>
      </x:c>
      <x:c r="G70" s="2" t="n">
        <x:v>5</x:v>
      </x:c>
      <x:c r="H70" s="2" t="n">
        <x:v>33</x:v>
      </x:c>
      <x:c r="I70" s="2" t="n">
        <x:v>0</x:v>
      </x:c>
      <x:c r="J70" s="2" t="n">
        <x:v>0</x:v>
      </x:c>
      <x:c r="K70" s="2" t="n">
        <x:v>0</x:v>
      </x:c>
    </x:row>
    <x:row r="71" ht="21" customHeight="1">
      <x:c r="A71" s="6" t="n">
        <x:v>45973</x:v>
      </x:c>
      <x:c r="B71" s="2" t="str">
        <x:v>I04</x:v>
      </x:c>
      <x:c r="C71" s="2" t="n">
        <x:v>3</x:v>
      </x:c>
      <x:c r="D71" s="2" t="str">
        <x:v>Training</x:v>
      </x:c>
      <x:c r="E71" s="7" t="n">
        <x:v>9</x:v>
      </x:c>
      <x:c r="F71" s="2" t="n">
        <x:v>39</x:v>
      </x:c>
      <x:c r="G71" s="2" t="n">
        <x:v>5</x:v>
      </x:c>
      <x:c r="H71" s="2" t="n">
        <x:v>40</x:v>
      </x:c>
      <x:c r="I71" s="2" t="n">
        <x:v>0</x:v>
      </x:c>
      <x:c r="J71" s="2" t="n">
        <x:v>0</x:v>
      </x:c>
      <x:c r="K71" s="2" t="n">
        <x:v>0</x:v>
      </x:c>
    </x:row>
    <x:row r="72" ht="21" customHeight="1">
      <x:c r="A72" s="6" t="n">
        <x:v>45973</x:v>
      </x:c>
      <x:c r="B72" s="2" t="str">
        <x:v>I05</x:v>
      </x:c>
      <x:c r="C72" s="2" t="n">
        <x:v>3</x:v>
      </x:c>
      <x:c r="D72" s="2" t="str">
        <x:v>Training</x:v>
      </x:c>
      <x:c r="E72" s="7" t="n">
        <x:v>3.5</x:v>
      </x:c>
      <x:c r="F72" s="2" t="n">
        <x:v>72</x:v>
      </x:c>
      <x:c r="G72" s="2" t="n">
        <x:v>11</x:v>
      </x:c>
      <x:c r="H72" s="2" t="n">
        <x:v>72</x:v>
      </x:c>
      <x:c r="I72" s="2" t="n">
        <x:v>0</x:v>
      </x:c>
      <x:c r="J72" s="2" t="n">
        <x:v>0</x:v>
      </x:c>
      <x:c r="K72" s="2" t="n">
        <x:v>0</x:v>
      </x:c>
    </x:row>
    <x:row r="73" ht="21" customHeight="1">
      <x:c r="A73" s="6" t="n">
        <x:v>45973</x:v>
      </x:c>
      <x:c r="B73" s="2" t="str">
        <x:v>I06</x:v>
      </x:c>
      <x:c r="C73" s="2" t="n">
        <x:v>3</x:v>
      </x:c>
      <x:c r="D73" s="2" t="str">
        <x:v>Training</x:v>
      </x:c>
      <x:c r="E73" s="7" t="n">
        <x:v>3</x:v>
      </x:c>
      <x:c r="F73" s="2" t="n">
        <x:v>30</x:v>
      </x:c>
      <x:c r="G73" s="2" t="n">
        <x:v>4</x:v>
      </x:c>
      <x:c r="H73" s="2" t="n">
        <x:v>31</x:v>
      </x:c>
      <x:c r="I73" s="2" t="n">
        <x:v>0</x:v>
      </x:c>
      <x:c r="J73" s="2" t="n">
        <x:v>0</x:v>
      </x:c>
      <x:c r="K73" s="2" t="n">
        <x:v>0</x:v>
      </x:c>
    </x:row>
    <x:row r="74" ht="21" customHeight="1">
      <x:c r="A74" s="6" t="n">
        <x:v>45974</x:v>
      </x:c>
      <x:c r="B74" s="2" t="str">
        <x:v>I01</x:v>
      </x:c>
      <x:c r="C74" s="2" t="n">
        <x:v>4</x:v>
      </x:c>
      <x:c r="D74" s="2" t="str">
        <x:v>Training</x:v>
      </x:c>
      <x:c r="E74" s="7" t="n">
        <x:v>8.5</x:v>
      </x:c>
      <x:c r="F74" s="2" t="n">
        <x:v>69</x:v>
      </x:c>
      <x:c r="G74" s="2" t="n">
        <x:v>10</x:v>
      </x:c>
      <x:c r="H74" s="2" t="n">
        <x:v>69</x:v>
      </x:c>
      <x:c r="I74" s="2" t="n">
        <x:v>0</x:v>
      </x:c>
      <x:c r="J74" s="2" t="n">
        <x:v>0</x:v>
      </x:c>
      <x:c r="K74" s="2" t="n">
        <x:v>0</x:v>
      </x:c>
    </x:row>
    <x:row r="75" ht="21" customHeight="1">
      <x:c r="A75" s="6" t="n">
        <x:v>45974</x:v>
      </x:c>
      <x:c r="B75" s="2" t="str">
        <x:v>I02</x:v>
      </x:c>
      <x:c r="C75" s="2" t="n">
        <x:v>4</x:v>
      </x:c>
      <x:c r="D75" s="2" t="str">
        <x:v>Training</x:v>
      </x:c>
      <x:c r="E75" s="7" t="n">
        <x:v>8</x:v>
      </x:c>
      <x:c r="F75" s="2" t="n">
        <x:v>61</x:v>
      </x:c>
      <x:c r="G75" s="2" t="n">
        <x:v>8</x:v>
      </x:c>
      <x:c r="H75" s="2" t="n">
        <x:v>62</x:v>
      </x:c>
      <x:c r="I75" s="2" t="n">
        <x:v>0</x:v>
      </x:c>
      <x:c r="J75" s="2" t="n">
        <x:v>0</x:v>
      </x:c>
      <x:c r="K75" s="2" t="n">
        <x:v>0</x:v>
      </x:c>
    </x:row>
    <x:row r="76" ht="21" customHeight="1">
      <x:c r="A76" s="6" t="n">
        <x:v>45974</x:v>
      </x:c>
      <x:c r="B76" s="2" t="str">
        <x:v>I03</x:v>
      </x:c>
      <x:c r="C76" s="2" t="n">
        <x:v>4</x:v>
      </x:c>
      <x:c r="D76" s="2" t="str">
        <x:v>Training</x:v>
      </x:c>
      <x:c r="E76" s="7" t="n">
        <x:v>7.5</x:v>
      </x:c>
      <x:c r="F76" s="2" t="n">
        <x:v>34</x:v>
      </x:c>
      <x:c r="G76" s="2" t="n">
        <x:v>5</x:v>
      </x:c>
      <x:c r="H76" s="2" t="n">
        <x:v>34</x:v>
      </x:c>
      <x:c r="I76" s="2" t="n">
        <x:v>0</x:v>
      </x:c>
      <x:c r="J76" s="2" t="n">
        <x:v>0</x:v>
      </x:c>
      <x:c r="K76" s="2" t="n">
        <x:v>0</x:v>
      </x:c>
    </x:row>
    <x:row r="77" ht="21" customHeight="1">
      <x:c r="A77" s="6" t="n">
        <x:v>45974</x:v>
      </x:c>
      <x:c r="B77" s="2" t="str">
        <x:v>I04</x:v>
      </x:c>
      <x:c r="C77" s="2" t="n">
        <x:v>4</x:v>
      </x:c>
      <x:c r="D77" s="2" t="str">
        <x:v>Training</x:v>
      </x:c>
      <x:c r="E77" s="7" t="n">
        <x:v>9</x:v>
      </x:c>
      <x:c r="F77" s="2" t="n">
        <x:v>38</x:v>
      </x:c>
      <x:c r="G77" s="2" t="n">
        <x:v>6</x:v>
      </x:c>
      <x:c r="H77" s="2" t="n">
        <x:v>38</x:v>
      </x:c>
      <x:c r="I77" s="2" t="n">
        <x:v>0</x:v>
      </x:c>
      <x:c r="J77" s="2" t="n">
        <x:v>0</x:v>
      </x:c>
      <x:c r="K77" s="2" t="n">
        <x:v>0</x:v>
      </x:c>
    </x:row>
    <x:row r="78" ht="21" customHeight="1">
      <x:c r="A78" s="6" t="n">
        <x:v>45974</x:v>
      </x:c>
      <x:c r="B78" s="2" t="str">
        <x:v>I05</x:v>
      </x:c>
      <x:c r="C78" s="2" t="n">
        <x:v>4</x:v>
      </x:c>
      <x:c r="D78" s="2" t="str">
        <x:v>Training</x:v>
      </x:c>
      <x:c r="E78" s="7" t="n">
        <x:v>3.5</x:v>
      </x:c>
      <x:c r="F78" s="2" t="n">
        <x:v>86</x:v>
      </x:c>
      <x:c r="G78" s="2" t="n">
        <x:v>11</x:v>
      </x:c>
      <x:c r="H78" s="2" t="n">
        <x:v>88</x:v>
      </x:c>
      <x:c r="I78" s="2" t="n">
        <x:v>0</x:v>
      </x:c>
      <x:c r="J78" s="2" t="n">
        <x:v>0</x:v>
      </x:c>
      <x:c r="K78" s="2" t="n">
        <x:v>0</x:v>
      </x:c>
    </x:row>
    <x:row r="79" ht="21" customHeight="1">
      <x:c r="A79" s="6" t="n">
        <x:v>45974</x:v>
      </x:c>
      <x:c r="B79" s="2" t="str">
        <x:v>I06</x:v>
      </x:c>
      <x:c r="C79" s="2" t="n">
        <x:v>4</x:v>
      </x:c>
      <x:c r="D79" s="2" t="str">
        <x:v>Training</x:v>
      </x:c>
      <x:c r="E79" s="7" t="n">
        <x:v>3</x:v>
      </x:c>
      <x:c r="F79" s="2" t="n">
        <x:v>32</x:v>
      </x:c>
      <x:c r="G79" s="2" t="n">
        <x:v>5</x:v>
      </x:c>
      <x:c r="H79" s="2" t="n">
        <x:v>32</x:v>
      </x:c>
      <x:c r="I79" s="2" t="n">
        <x:v>0</x:v>
      </x:c>
      <x:c r="J79" s="2" t="n">
        <x:v>0</x:v>
      </x:c>
      <x:c r="K79" s="2" t="n">
        <x:v>0</x:v>
      </x:c>
    </x:row>
    <x:row r="80" ht="21" customHeight="1">
      <x:c r="A80" s="6" t="n">
        <x:v>45975</x:v>
      </x:c>
      <x:c r="B80" s="2" t="str">
        <x:v>I01</x:v>
      </x:c>
      <x:c r="C80" s="2" t="n">
        <x:v>5</x:v>
      </x:c>
      <x:c r="D80" s="2" t="str">
        <x:v>Training</x:v>
      </x:c>
      <x:c r="E80" s="7" t="n">
        <x:v>8.5</x:v>
      </x:c>
      <x:c r="F80" s="2" t="n">
        <x:v>83</x:v>
      </x:c>
      <x:c r="G80" s="2" t="n">
        <x:v>10</x:v>
      </x:c>
      <x:c r="H80" s="2" t="n">
        <x:v>85</x:v>
      </x:c>
      <x:c r="I80" s="2" t="n">
        <x:v>0</x:v>
      </x:c>
      <x:c r="J80" s="2" t="n">
        <x:v>0</x:v>
      </x:c>
      <x:c r="K80" s="2" t="n">
        <x:v>0</x:v>
      </x:c>
    </x:row>
    <x:row r="81" ht="21" customHeight="1">
      <x:c r="A81" s="6" t="n">
        <x:v>45975</x:v>
      </x:c>
      <x:c r="B81" s="2" t="str">
        <x:v>I02</x:v>
      </x:c>
      <x:c r="C81" s="2" t="n">
        <x:v>5</x:v>
      </x:c>
      <x:c r="D81" s="2" t="str">
        <x:v>Training</x:v>
      </x:c>
      <x:c r="E81" s="7" t="n">
        <x:v>8</x:v>
      </x:c>
      <x:c r="F81" s="2" t="n">
        <x:v>69</x:v>
      </x:c>
      <x:c r="G81" s="2" t="n">
        <x:v>9</x:v>
      </x:c>
      <x:c r="H81" s="2" t="n">
        <x:v>70</x:v>
      </x:c>
      <x:c r="I81" s="2" t="n">
        <x:v>0</x:v>
      </x:c>
      <x:c r="J81" s="2" t="n">
        <x:v>0</x:v>
      </x:c>
      <x:c r="K81" s="2" t="n">
        <x:v>0</x:v>
      </x:c>
    </x:row>
    <x:row r="82" ht="21" customHeight="1">
      <x:c r="A82" s="6" t="n">
        <x:v>45975</x:v>
      </x:c>
      <x:c r="B82" s="2" t="str">
        <x:v>I03</x:v>
      </x:c>
      <x:c r="C82" s="2" t="n">
        <x:v>5</x:v>
      </x:c>
      <x:c r="D82" s="2" t="str">
        <x:v>Training</x:v>
      </x:c>
      <x:c r="E82" s="7" t="n">
        <x:v>7.5</x:v>
      </x:c>
      <x:c r="F82" s="2" t="n">
        <x:v>41</x:v>
      </x:c>
      <x:c r="G82" s="2" t="n">
        <x:v>5</x:v>
      </x:c>
      <x:c r="H82" s="2" t="n">
        <x:v>42</x:v>
      </x:c>
      <x:c r="I82" s="2" t="n">
        <x:v>0</x:v>
      </x:c>
      <x:c r="J82" s="2" t="n">
        <x:v>0</x:v>
      </x:c>
      <x:c r="K82" s="2" t="n">
        <x:v>0</x:v>
      </x:c>
    </x:row>
    <x:row r="83" ht="21" customHeight="1">
      <x:c r="A83" s="6" t="n">
        <x:v>45975</x:v>
      </x:c>
      <x:c r="B83" s="2" t="str">
        <x:v>I04</x:v>
      </x:c>
      <x:c r="C83" s="2" t="n">
        <x:v>5</x:v>
      </x:c>
      <x:c r="D83" s="2" t="str">
        <x:v>Training</x:v>
      </x:c>
      <x:c r="E83" s="7" t="n">
        <x:v>9</x:v>
      </x:c>
      <x:c r="F83" s="2" t="n">
        <x:v>48</x:v>
      </x:c>
      <x:c r="G83" s="2" t="n">
        <x:v>6</x:v>
      </x:c>
      <x:c r="H83" s="2" t="n">
        <x:v>49</x:v>
      </x:c>
      <x:c r="I83" s="2" t="n">
        <x:v>0</x:v>
      </x:c>
      <x:c r="J83" s="2" t="n">
        <x:v>0</x:v>
      </x:c>
      <x:c r="K83" s="2" t="n">
        <x:v>0</x:v>
      </x:c>
    </x:row>
    <x:row r="84" ht="21" customHeight="1">
      <x:c r="A84" s="6" t="n">
        <x:v>45975</x:v>
      </x:c>
      <x:c r="B84" s="2" t="str">
        <x:v>I05</x:v>
      </x:c>
      <x:c r="C84" s="2" t="n">
        <x:v>5</x:v>
      </x:c>
      <x:c r="D84" s="2" t="str">
        <x:v>Training</x:v>
      </x:c>
      <x:c r="E84" s="7" t="n">
        <x:v>3.5</x:v>
      </x:c>
      <x:c r="F84" s="2" t="n">
        <x:v>102</x:v>
      </x:c>
      <x:c r="G84" s="2" t="n">
        <x:v>13</x:v>
      </x:c>
      <x:c r="H84" s="2" t="n">
        <x:v>104</x:v>
      </x:c>
      <x:c r="I84" s="2" t="n">
        <x:v>0</x:v>
      </x:c>
      <x:c r="J84" s="2" t="n">
        <x:v>0</x:v>
      </x:c>
      <x:c r="K84" s="2" t="n">
        <x:v>0</x:v>
      </x:c>
    </x:row>
    <x:row r="85" ht="21" customHeight="1">
      <x:c r="A85" s="6" t="n">
        <x:v>45975</x:v>
      </x:c>
      <x:c r="B85" s="2" t="str">
        <x:v>I06</x:v>
      </x:c>
      <x:c r="C85" s="2" t="n">
        <x:v>5</x:v>
      </x:c>
      <x:c r="D85" s="2" t="str">
        <x:v>Training</x:v>
      </x:c>
      <x:c r="E85" s="7" t="n">
        <x:v>3</x:v>
      </x:c>
      <x:c r="F85" s="2" t="n">
        <x:v>38</x:v>
      </x:c>
      <x:c r="G85" s="2" t="n">
        <x:v>5</x:v>
      </x:c>
      <x:c r="H85" s="2" t="n">
        <x:v>39</x:v>
      </x:c>
      <x:c r="I85" s="2" t="n">
        <x:v>0</x:v>
      </x:c>
      <x:c r="J85" s="2" t="n">
        <x:v>0</x:v>
      </x:c>
      <x:c r="K85" s="2" t="n">
        <x:v>0</x:v>
      </x:c>
    </x:row>
    <x:row r="86" ht="21" customHeight="1">
      <x:c r="A86" s="6" t="n">
        <x:v>45976</x:v>
      </x:c>
      <x:c r="B86" s="2" t="str">
        <x:v>I01</x:v>
      </x:c>
      <x:c r="C86" s="2" t="n">
        <x:v>6</x:v>
      </x:c>
      <x:c r="D86" s="2" t="str">
        <x:v>Training</x:v>
      </x:c>
      <x:c r="E86" s="7" t="n">
        <x:v>8.5</x:v>
      </x:c>
      <x:c r="F86" s="2" t="n">
        <x:v>95</x:v>
      </x:c>
      <x:c r="G86" s="2" t="n">
        <x:v>12</x:v>
      </x:c>
      <x:c r="H86" s="2" t="n">
        <x:v>97</x:v>
      </x:c>
      <x:c r="I86" s="2" t="n">
        <x:v>0</x:v>
      </x:c>
      <x:c r="J86" s="2" t="n">
        <x:v>0</x:v>
      </x:c>
      <x:c r="K86" s="2" t="n">
        <x:v>0</x:v>
      </x:c>
    </x:row>
    <x:row r="87" ht="21" customHeight="1">
      <x:c r="A87" s="6" t="n">
        <x:v>45976</x:v>
      </x:c>
      <x:c r="B87" s="2" t="str">
        <x:v>I02</x:v>
      </x:c>
      <x:c r="C87" s="2" t="n">
        <x:v>6</x:v>
      </x:c>
      <x:c r="D87" s="2" t="str">
        <x:v>Training</x:v>
      </x:c>
      <x:c r="E87" s="7" t="n">
        <x:v>8</x:v>
      </x:c>
      <x:c r="F87" s="2" t="n">
        <x:v>77</x:v>
      </x:c>
      <x:c r="G87" s="2" t="n">
        <x:v>10</x:v>
      </x:c>
      <x:c r="H87" s="2" t="n">
        <x:v>79</x:v>
      </x:c>
      <x:c r="I87" s="2" t="n">
        <x:v>0</x:v>
      </x:c>
      <x:c r="J87" s="2" t="n">
        <x:v>0</x:v>
      </x:c>
      <x:c r="K87" s="2" t="n">
        <x:v>0</x:v>
      </x:c>
    </x:row>
    <x:row r="88" ht="21" customHeight="1">
      <x:c r="A88" s="6" t="n">
        <x:v>45976</x:v>
      </x:c>
      <x:c r="B88" s="2" t="str">
        <x:v>I03</x:v>
      </x:c>
      <x:c r="C88" s="2" t="n">
        <x:v>6</x:v>
      </x:c>
      <x:c r="D88" s="2" t="str">
        <x:v>Training</x:v>
      </x:c>
      <x:c r="E88" s="7" t="n">
        <x:v>7.5</x:v>
      </x:c>
      <x:c r="F88" s="2" t="n">
        <x:v>42</x:v>
      </x:c>
      <x:c r="G88" s="2" t="n">
        <x:v>6</x:v>
      </x:c>
      <x:c r="H88" s="2" t="n">
        <x:v>42</x:v>
      </x:c>
      <x:c r="I88" s="2" t="n">
        <x:v>0</x:v>
      </x:c>
      <x:c r="J88" s="2" t="n">
        <x:v>0</x:v>
      </x:c>
      <x:c r="K88" s="2" t="n">
        <x:v>0</x:v>
      </x:c>
    </x:row>
    <x:row r="89" ht="21" customHeight="1">
      <x:c r="A89" s="6" t="n">
        <x:v>45976</x:v>
      </x:c>
      <x:c r="B89" s="2" t="str">
        <x:v>I04</x:v>
      </x:c>
      <x:c r="C89" s="2" t="n">
        <x:v>6</x:v>
      </x:c>
      <x:c r="D89" s="2" t="str">
        <x:v>Training</x:v>
      </x:c>
      <x:c r="E89" s="7" t="n">
        <x:v>9</x:v>
      </x:c>
      <x:c r="F89" s="2" t="n">
        <x:v>50</x:v>
      </x:c>
      <x:c r="G89" s="2" t="n">
        <x:v>7</x:v>
      </x:c>
      <x:c r="H89" s="2" t="n">
        <x:v>50</x:v>
      </x:c>
      <x:c r="I89" s="2" t="n">
        <x:v>0</x:v>
      </x:c>
      <x:c r="J89" s="2" t="n">
        <x:v>0</x:v>
      </x:c>
      <x:c r="K89" s="2" t="n">
        <x:v>0</x:v>
      </x:c>
    </x:row>
    <x:row r="90" ht="21" customHeight="1">
      <x:c r="A90" s="6" t="n">
        <x:v>45976</x:v>
      </x:c>
      <x:c r="B90" s="2" t="str">
        <x:v>I05</x:v>
      </x:c>
      <x:c r="C90" s="2" t="n">
        <x:v>6</x:v>
      </x:c>
      <x:c r="D90" s="2" t="str">
        <x:v>Training</x:v>
      </x:c>
      <x:c r="E90" s="7" t="n">
        <x:v>3.5</x:v>
      </x:c>
      <x:c r="F90" s="2" t="n">
        <x:v>108</x:v>
      </x:c>
      <x:c r="G90" s="2" t="n">
        <x:v>15</x:v>
      </x:c>
      <x:c r="H90" s="2" t="n">
        <x:v>109</x:v>
      </x:c>
      <x:c r="I90" s="2" t="n">
        <x:v>0</x:v>
      </x:c>
      <x:c r="J90" s="2" t="n">
        <x:v>0</x:v>
      </x:c>
      <x:c r="K90" s="2" t="n">
        <x:v>0</x:v>
      </x:c>
    </x:row>
    <x:row r="91" ht="21" customHeight="1">
      <x:c r="A91" s="6" t="n">
        <x:v>45976</x:v>
      </x:c>
      <x:c r="B91" s="2" t="str">
        <x:v>I06</x:v>
      </x:c>
      <x:c r="C91" s="2" t="n">
        <x:v>6</x:v>
      </x:c>
      <x:c r="D91" s="2" t="str">
        <x:v>Training</x:v>
      </x:c>
      <x:c r="E91" s="7" t="n">
        <x:v>3</x:v>
      </x:c>
      <x:c r="F91" s="2" t="n">
        <x:v>38</x:v>
      </x:c>
      <x:c r="G91" s="2" t="n">
        <x:v>6</x:v>
      </x:c>
      <x:c r="H91" s="2" t="n">
        <x:v>38</x:v>
      </x:c>
      <x:c r="I91" s="2" t="n">
        <x:v>0</x:v>
      </x:c>
      <x:c r="J91" s="2" t="n">
        <x:v>0</x:v>
      </x:c>
      <x:c r="K91" s="2" t="n">
        <x:v>0</x:v>
      </x:c>
    </x:row>
    <x:row r="92" ht="21" customHeight="1">
      <x:c r="A92" s="6" t="n">
        <x:v>45977</x:v>
      </x:c>
      <x:c r="B92" s="2" t="str">
        <x:v>I01</x:v>
      </x:c>
      <x:c r="C92" s="2" t="n">
        <x:v>7</x:v>
      </x:c>
      <x:c r="D92" s="2" t="str">
        <x:v>Training</x:v>
      </x:c>
      <x:c r="E92" s="7" t="n">
        <x:v>8.5</x:v>
      </x:c>
      <x:c r="F92" s="2" t="n">
        <x:v>83</x:v>
      </x:c>
      <x:c r="G92" s="2" t="n">
        <x:v>14</x:v>
      </x:c>
      <x:c r="H92" s="2" t="n">
        <x:v>81</x:v>
      </x:c>
      <x:c r="I92" s="2" t="n">
        <x:v>0</x:v>
      </x:c>
      <x:c r="J92" s="2" t="n">
        <x:v>0</x:v>
      </x:c>
      <x:c r="K92" s="2" t="n">
        <x:v>0</x:v>
      </x:c>
    </x:row>
    <x:row r="93" ht="21" customHeight="1">
      <x:c r="A93" s="6" t="n">
        <x:v>45977</x:v>
      </x:c>
      <x:c r="B93" s="2" t="str">
        <x:v>I02</x:v>
      </x:c>
      <x:c r="C93" s="2" t="n">
        <x:v>7</x:v>
      </x:c>
      <x:c r="D93" s="2" t="str">
        <x:v>Training</x:v>
      </x:c>
      <x:c r="E93" s="7" t="n">
        <x:v>8</x:v>
      </x:c>
      <x:c r="F93" s="2" t="n">
        <x:v>65</x:v>
      </x:c>
      <x:c r="G93" s="2" t="n">
        <x:v>12</x:v>
      </x:c>
      <x:c r="H93" s="2" t="n">
        <x:v>63</x:v>
      </x:c>
      <x:c r="I93" s="2" t="n">
        <x:v>0</x:v>
      </x:c>
      <x:c r="J93" s="2" t="n">
        <x:v>0</x:v>
      </x:c>
      <x:c r="K93" s="2" t="n">
        <x:v>0</x:v>
      </x:c>
    </x:row>
    <x:row r="94" ht="21" customHeight="1">
      <x:c r="A94" s="6" t="n">
        <x:v>45977</x:v>
      </x:c>
      <x:c r="B94" s="2" t="str">
        <x:v>I03</x:v>
      </x:c>
      <x:c r="C94" s="2" t="n">
        <x:v>7</x:v>
      </x:c>
      <x:c r="D94" s="2" t="str">
        <x:v>Training</x:v>
      </x:c>
      <x:c r="E94" s="7" t="n">
        <x:v>7.5</x:v>
      </x:c>
      <x:c r="F94" s="2" t="n">
        <x:v>38</x:v>
      </x:c>
      <x:c r="G94" s="2" t="n">
        <x:v>6</x:v>
      </x:c>
      <x:c r="H94" s="2" t="n">
        <x:v>38</x:v>
      </x:c>
      <x:c r="I94" s="2" t="n">
        <x:v>0</x:v>
      </x:c>
      <x:c r="J94" s="2" t="n">
        <x:v>0</x:v>
      </x:c>
      <x:c r="K94" s="2" t="n">
        <x:v>0</x:v>
      </x:c>
    </x:row>
    <x:row r="95" ht="21" customHeight="1">
      <x:c r="A95" s="6" t="n">
        <x:v>45977</x:v>
      </x:c>
      <x:c r="B95" s="2" t="str">
        <x:v>I04</x:v>
      </x:c>
      <x:c r="C95" s="2" t="n">
        <x:v>7</x:v>
      </x:c>
      <x:c r="D95" s="2" t="str">
        <x:v>Training</x:v>
      </x:c>
      <x:c r="E95" s="7" t="n">
        <x:v>9</x:v>
      </x:c>
      <x:c r="F95" s="2" t="n">
        <x:v>42</x:v>
      </x:c>
      <x:c r="G95" s="2" t="n">
        <x:v>7</x:v>
      </x:c>
      <x:c r="H95" s="2" t="n">
        <x:v>41</x:v>
      </x:c>
      <x:c r="I95" s="2" t="n">
        <x:v>0</x:v>
      </x:c>
      <x:c r="J95" s="2" t="n">
        <x:v>0</x:v>
      </x:c>
      <x:c r="K95" s="2" t="n">
        <x:v>0</x:v>
      </x:c>
    </x:row>
    <x:row r="96" ht="21" customHeight="1">
      <x:c r="A96" s="6" t="n">
        <x:v>45977</x:v>
      </x:c>
      <x:c r="B96" s="2" t="str">
        <x:v>I05</x:v>
      </x:c>
      <x:c r="C96" s="2" t="n">
        <x:v>7</x:v>
      </x:c>
      <x:c r="D96" s="2" t="str">
        <x:v>Training</x:v>
      </x:c>
      <x:c r="E96" s="7" t="n">
        <x:v>3.5</x:v>
      </x:c>
      <x:c r="F96" s="2" t="n">
        <x:v>85</x:v>
      </x:c>
      <x:c r="G96" s="2" t="n">
        <x:v>16</x:v>
      </x:c>
      <x:c r="H96" s="2" t="n">
        <x:v>82</x:v>
      </x:c>
      <x:c r="I96" s="2" t="n">
        <x:v>0</x:v>
      </x:c>
      <x:c r="J96" s="2" t="n">
        <x:v>0</x:v>
      </x:c>
      <x:c r="K96" s="2" t="n">
        <x:v>0</x:v>
      </x:c>
    </x:row>
    <x:row r="97" ht="21" customHeight="1">
      <x:c r="A97" s="6" t="n">
        <x:v>45977</x:v>
      </x:c>
      <x:c r="B97" s="2" t="str">
        <x:v>I06</x:v>
      </x:c>
      <x:c r="C97" s="2" t="n">
        <x:v>7</x:v>
      </x:c>
      <x:c r="D97" s="2" t="str">
        <x:v>Training</x:v>
      </x:c>
      <x:c r="E97" s="7" t="n">
        <x:v>3</x:v>
      </x:c>
      <x:c r="F97" s="2" t="n">
        <x:v>33</x:v>
      </x:c>
      <x:c r="G97" s="2" t="n">
        <x:v>6</x:v>
      </x:c>
      <x:c r="H97" s="2" t="n">
        <x:v>32</x:v>
      </x:c>
      <x:c r="I97" s="2" t="n">
        <x:v>0</x:v>
      </x:c>
      <x:c r="J97" s="2" t="n">
        <x:v>0</x:v>
      </x:c>
      <x:c r="K97" s="2" t="n">
        <x:v>0</x:v>
      </x:c>
    </x:row>
    <x:row r="98" ht="21" customHeight="1">
      <x:c r="A98" s="6" t="n">
        <x:v>45978</x:v>
      </x:c>
      <x:c r="B98" s="2" t="str">
        <x:v>I01</x:v>
      </x:c>
      <x:c r="C98" s="2" t="n">
        <x:v>1</x:v>
      </x:c>
      <x:c r="D98" s="2" t="str">
        <x:v>Training</x:v>
      </x:c>
      <x:c r="E98" s="7" t="n">
        <x:v>8.5</x:v>
      </x:c>
      <x:c r="F98" s="2" t="n">
        <x:v>60</x:v>
      </x:c>
      <x:c r="G98" s="2" t="n">
        <x:v>12</x:v>
      </x:c>
      <x:c r="H98" s="2" t="n">
        <x:v>57</x:v>
      </x:c>
      <x:c r="I98" s="2" t="n">
        <x:v>0</x:v>
      </x:c>
      <x:c r="J98" s="2" t="n">
        <x:v>0</x:v>
      </x:c>
      <x:c r="K98" s="2" t="n">
        <x:v>0</x:v>
      </x:c>
    </x:row>
    <x:row r="99" ht="21" customHeight="1">
      <x:c r="A99" s="6" t="n">
        <x:v>45978</x:v>
      </x:c>
      <x:c r="B99" s="2" t="str">
        <x:v>I02</x:v>
      </x:c>
      <x:c r="C99" s="2" t="n">
        <x:v>1</x:v>
      </x:c>
      <x:c r="D99" s="2" t="str">
        <x:v>Training</x:v>
      </x:c>
      <x:c r="E99" s="7" t="n">
        <x:v>8</x:v>
      </x:c>
      <x:c r="F99" s="2" t="n">
        <x:v>51</x:v>
      </x:c>
      <x:c r="G99" s="2" t="n">
        <x:v>10</x:v>
      </x:c>
      <x:c r="H99" s="2" t="n">
        <x:v>49</x:v>
      </x:c>
      <x:c r="I99" s="2" t="n">
        <x:v>0</x:v>
      </x:c>
      <x:c r="J99" s="2" t="n">
        <x:v>0</x:v>
      </x:c>
      <x:c r="K99" s="2" t="n">
        <x:v>0</x:v>
      </x:c>
    </x:row>
    <x:row r="100" ht="21" customHeight="1">
      <x:c r="A100" s="6" t="n">
        <x:v>45978</x:v>
      </x:c>
      <x:c r="B100" s="2" t="str">
        <x:v>I03</x:v>
      </x:c>
      <x:c r="C100" s="2" t="n">
        <x:v>1</x:v>
      </x:c>
      <x:c r="D100" s="2" t="str">
        <x:v>Training</x:v>
      </x:c>
      <x:c r="E100" s="7" t="n">
        <x:v>7.5</x:v>
      </x:c>
      <x:c r="F100" s="2" t="n">
        <x:v>28</x:v>
      </x:c>
      <x:c r="G100" s="2" t="n">
        <x:v>6</x:v>
      </x:c>
      <x:c r="H100" s="2" t="n">
        <x:v>26</x:v>
      </x:c>
      <x:c r="I100" s="2" t="n">
        <x:v>0</x:v>
      </x:c>
      <x:c r="J100" s="2" t="n">
        <x:v>0</x:v>
      </x:c>
      <x:c r="K100" s="2" t="n">
        <x:v>0</x:v>
      </x:c>
    </x:row>
    <x:row r="101" ht="21" customHeight="1">
      <x:c r="A101" s="6" t="n">
        <x:v>45978</x:v>
      </x:c>
      <x:c r="B101" s="2" t="str">
        <x:v>I04</x:v>
      </x:c>
      <x:c r="C101" s="2" t="n">
        <x:v>1</x:v>
      </x:c>
      <x:c r="D101" s="2" t="str">
        <x:v>Training</x:v>
      </x:c>
      <x:c r="E101" s="7" t="n">
        <x:v>9</x:v>
      </x:c>
      <x:c r="F101" s="2" t="n">
        <x:v>32</x:v>
      </x:c>
      <x:c r="G101" s="2" t="n">
        <x:v>6</x:v>
      </x:c>
      <x:c r="H101" s="2" t="n">
        <x:v>31</x:v>
      </x:c>
      <x:c r="I101" s="2" t="n">
        <x:v>0</x:v>
      </x:c>
      <x:c r="J101" s="2" t="n">
        <x:v>0</x:v>
      </x:c>
      <x:c r="K101" s="2" t="n">
        <x:v>0</x:v>
      </x:c>
    </x:row>
    <x:row r="102" ht="21" customHeight="1">
      <x:c r="A102" s="6" t="n">
        <x:v>45978</x:v>
      </x:c>
      <x:c r="B102" s="2" t="str">
        <x:v>I05</x:v>
      </x:c>
      <x:c r="C102" s="2" t="n">
        <x:v>1</x:v>
      </x:c>
      <x:c r="D102" s="2" t="str">
        <x:v>Training</x:v>
      </x:c>
      <x:c r="E102" s="7" t="n">
        <x:v>3.5</x:v>
      </x:c>
      <x:c r="F102" s="2" t="n">
        <x:v>72</x:v>
      </x:c>
      <x:c r="G102" s="2" t="n">
        <x:v>13</x:v>
      </x:c>
      <x:c r="H102" s="2" t="n">
        <x:v>70</x:v>
      </x:c>
      <x:c r="I102" s="2" t="n">
        <x:v>0</x:v>
      </x:c>
      <x:c r="J102" s="2" t="n">
        <x:v>0</x:v>
      </x:c>
      <x:c r="K102" s="2" t="n">
        <x:v>0</x:v>
      </x:c>
    </x:row>
    <x:row r="103" ht="21" customHeight="1">
      <x:c r="A103" s="6" t="n">
        <x:v>45978</x:v>
      </x:c>
      <x:c r="B103" s="2" t="str">
        <x:v>I06</x:v>
      </x:c>
      <x:c r="C103" s="2" t="n">
        <x:v>1</x:v>
      </x:c>
      <x:c r="D103" s="2" t="str">
        <x:v>Training</x:v>
      </x:c>
      <x:c r="E103" s="7" t="n">
        <x:v>3</x:v>
      </x:c>
      <x:c r="F103" s="2" t="n">
        <x:v>25</x:v>
      </x:c>
      <x:c r="G103" s="2" t="n">
        <x:v>5</x:v>
      </x:c>
      <x:c r="H103" s="2" t="n">
        <x:v>24</x:v>
      </x:c>
      <x:c r="I103" s="2" t="n">
        <x:v>0</x:v>
      </x:c>
      <x:c r="J103" s="2" t="n">
        <x:v>0</x:v>
      </x:c>
      <x:c r="K103" s="2" t="n">
        <x:v>0</x:v>
      </x:c>
    </x:row>
    <x:row r="104" ht="21" customHeight="1">
      <x:c r="A104" s="6" t="n">
        <x:v>45979</x:v>
      </x:c>
      <x:c r="B104" s="2" t="str">
        <x:v>I01</x:v>
      </x:c>
      <x:c r="C104" s="2" t="n">
        <x:v>2</x:v>
      </x:c>
      <x:c r="D104" s="2" t="str">
        <x:v>Training</x:v>
      </x:c>
      <x:c r="E104" s="7" t="n">
        <x:v>8.5</x:v>
      </x:c>
      <x:c r="F104" s="2" t="n">
        <x:v>65</x:v>
      </x:c>
      <x:c r="G104" s="2" t="n">
        <x:v>9</x:v>
      </x:c>
      <x:c r="H104" s="2" t="n">
        <x:v>66</x:v>
      </x:c>
      <x:c r="I104" s="2" t="n">
        <x:v>0</x:v>
      </x:c>
      <x:c r="J104" s="2" t="n">
        <x:v>0</x:v>
      </x:c>
      <x:c r="K104" s="2" t="n">
        <x:v>0</x:v>
      </x:c>
    </x:row>
    <x:row r="105" ht="21" customHeight="1">
      <x:c r="A105" s="6" t="n">
        <x:v>45979</x:v>
      </x:c>
      <x:c r="B105" s="2" t="str">
        <x:v>I02</x:v>
      </x:c>
      <x:c r="C105" s="2" t="n">
        <x:v>2</x:v>
      </x:c>
      <x:c r="D105" s="2" t="str">
        <x:v>Training</x:v>
      </x:c>
      <x:c r="E105" s="7" t="n">
        <x:v>8</x:v>
      </x:c>
      <x:c r="F105" s="2" t="n">
        <x:v>53</x:v>
      </x:c>
      <x:c r="G105" s="2" t="n">
        <x:v>8</x:v>
      </x:c>
      <x:c r="H105" s="2" t="n">
        <x:v>53</x:v>
      </x:c>
      <x:c r="I105" s="2" t="n">
        <x:v>0</x:v>
      </x:c>
      <x:c r="J105" s="2" t="n">
        <x:v>0</x:v>
      </x:c>
      <x:c r="K105" s="2" t="n">
        <x:v>0</x:v>
      </x:c>
    </x:row>
    <x:row r="106" ht="21" customHeight="1">
      <x:c r="A106" s="6" t="n">
        <x:v>45979</x:v>
      </x:c>
      <x:c r="B106" s="2" t="str">
        <x:v>I03</x:v>
      </x:c>
      <x:c r="C106" s="2" t="n">
        <x:v>2</x:v>
      </x:c>
      <x:c r="D106" s="2" t="str">
        <x:v>Training</x:v>
      </x:c>
      <x:c r="E106" s="7" t="n">
        <x:v>7.5</x:v>
      </x:c>
      <x:c r="F106" s="2" t="n">
        <x:v>32</x:v>
      </x:c>
      <x:c r="G106" s="2" t="n">
        <x:v>4</x:v>
      </x:c>
      <x:c r="H106" s="2" t="n">
        <x:v>33</x:v>
      </x:c>
      <x:c r="I106" s="2" t="n">
        <x:v>0</x:v>
      </x:c>
      <x:c r="J106" s="2" t="n">
        <x:v>0</x:v>
      </x:c>
      <x:c r="K106" s="2" t="n">
        <x:v>0</x:v>
      </x:c>
    </x:row>
    <x:row r="107" ht="21" customHeight="1">
      <x:c r="A107" s="6" t="n">
        <x:v>45979</x:v>
      </x:c>
      <x:c r="B107" s="2" t="str">
        <x:v>I04</x:v>
      </x:c>
      <x:c r="C107" s="2" t="n">
        <x:v>2</x:v>
      </x:c>
      <x:c r="D107" s="2" t="str">
        <x:v>Training</x:v>
      </x:c>
      <x:c r="E107" s="7" t="n">
        <x:v>9</x:v>
      </x:c>
      <x:c r="F107" s="2" t="n">
        <x:v>38</x:v>
      </x:c>
      <x:c r="G107" s="2" t="n">
        <x:v>5</x:v>
      </x:c>
      <x:c r="H107" s="2" t="n">
        <x:v>39</x:v>
      </x:c>
      <x:c r="I107" s="2" t="n">
        <x:v>0</x:v>
      </x:c>
      <x:c r="J107" s="2" t="n">
        <x:v>0</x:v>
      </x:c>
      <x:c r="K107" s="2" t="n">
        <x:v>0</x:v>
      </x:c>
    </x:row>
    <x:row r="108" ht="21" customHeight="1">
      <x:c r="A108" s="6" t="n">
        <x:v>45979</x:v>
      </x:c>
      <x:c r="B108" s="2" t="str">
        <x:v>I05</x:v>
      </x:c>
      <x:c r="C108" s="2" t="n">
        <x:v>2</x:v>
      </x:c>
      <x:c r="D108" s="2" t="str">
        <x:v>Training</x:v>
      </x:c>
      <x:c r="E108" s="7" t="n">
        <x:v>3.5</x:v>
      </x:c>
      <x:c r="F108" s="2" t="n">
        <x:v>72</x:v>
      </x:c>
      <x:c r="G108" s="2" t="n">
        <x:v>11</x:v>
      </x:c>
      <x:c r="H108" s="2" t="n">
        <x:v>72</x:v>
      </x:c>
      <x:c r="I108" s="2" t="n">
        <x:v>0</x:v>
      </x:c>
      <x:c r="J108" s="2" t="n">
        <x:v>0</x:v>
      </x:c>
      <x:c r="K108" s="2" t="n">
        <x:v>0</x:v>
      </x:c>
    </x:row>
    <x:row r="109" ht="21" customHeight="1">
      <x:c r="A109" s="6" t="n">
        <x:v>45979</x:v>
      </x:c>
      <x:c r="B109" s="2" t="str">
        <x:v>I06</x:v>
      </x:c>
      <x:c r="C109" s="2" t="n">
        <x:v>2</x:v>
      </x:c>
      <x:c r="D109" s="2" t="str">
        <x:v>Training</x:v>
      </x:c>
      <x:c r="E109" s="7" t="n">
        <x:v>3</x:v>
      </x:c>
      <x:c r="F109" s="2" t="n">
        <x:v>28</x:v>
      </x:c>
      <x:c r="G109" s="2" t="n">
        <x:v>4</x:v>
      </x:c>
      <x:c r="H109" s="2" t="n">
        <x:v>28</x:v>
      </x:c>
      <x:c r="I109" s="2" t="n">
        <x:v>0</x:v>
      </x:c>
      <x:c r="J109" s="2" t="n">
        <x:v>0</x:v>
      </x:c>
      <x:c r="K109" s="2" t="n">
        <x:v>0</x:v>
      </x:c>
    </x:row>
    <x:row r="110" ht="21" customHeight="1">
      <x:c r="A110" s="6" t="n">
        <x:v>45980</x:v>
      </x:c>
      <x:c r="B110" s="2" t="str">
        <x:v>I01</x:v>
      </x:c>
      <x:c r="C110" s="2" t="n">
        <x:v>3</x:v>
      </x:c>
      <x:c r="D110" s="2" t="str">
        <x:v>Training</x:v>
      </x:c>
      <x:c r="E110" s="7" t="n">
        <x:v>8.5</x:v>
      </x:c>
      <x:c r="F110" s="2" t="n">
        <x:v>64</x:v>
      </x:c>
      <x:c r="G110" s="2" t="n">
        <x:v>10</x:v>
      </x:c>
      <x:c r="H110" s="2" t="n">
        <x:v>64</x:v>
      </x:c>
      <x:c r="I110" s="2" t="n">
        <x:v>0</x:v>
      </x:c>
      <x:c r="J110" s="2" t="n">
        <x:v>0</x:v>
      </x:c>
      <x:c r="K110" s="2" t="n">
        <x:v>0</x:v>
      </x:c>
    </x:row>
    <x:row r="111" ht="21" customHeight="1">
      <x:c r="A111" s="6" t="n">
        <x:v>45980</x:v>
      </x:c>
      <x:c r="B111" s="2" t="str">
        <x:v>I02</x:v>
      </x:c>
      <x:c r="C111" s="2" t="n">
        <x:v>3</x:v>
      </x:c>
      <x:c r="D111" s="2" t="str">
        <x:v>Training</x:v>
      </x:c>
      <x:c r="E111" s="7" t="n">
        <x:v>8</x:v>
      </x:c>
      <x:c r="F111" s="2" t="n">
        <x:v>52</x:v>
      </x:c>
      <x:c r="G111" s="2" t="n">
        <x:v>8</x:v>
      </x:c>
      <x:c r="H111" s="2" t="n">
        <x:v>52</x:v>
      </x:c>
      <x:c r="I111" s="2" t="n">
        <x:v>0</x:v>
      </x:c>
      <x:c r="J111" s="2" t="n">
        <x:v>0</x:v>
      </x:c>
      <x:c r="K111" s="2" t="n">
        <x:v>0</x:v>
      </x:c>
    </x:row>
    <x:row r="112" ht="21" customHeight="1">
      <x:c r="A112" s="6" t="n">
        <x:v>45980</x:v>
      </x:c>
      <x:c r="B112" s="2" t="str">
        <x:v>I03</x:v>
      </x:c>
      <x:c r="C112" s="2" t="n">
        <x:v>3</x:v>
      </x:c>
      <x:c r="D112" s="2" t="str">
        <x:v>Training</x:v>
      </x:c>
      <x:c r="E112" s="7" t="n">
        <x:v>7.5</x:v>
      </x:c>
      <x:c r="F112" s="2" t="n">
        <x:v>33</x:v>
      </x:c>
      <x:c r="G112" s="2" t="n">
        <x:v>5</x:v>
      </x:c>
      <x:c r="H112" s="2" t="n">
        <x:v>33</x:v>
      </x:c>
      <x:c r="I112" s="2" t="n">
        <x:v>0</x:v>
      </x:c>
      <x:c r="J112" s="2" t="n">
        <x:v>0</x:v>
      </x:c>
      <x:c r="K112" s="2" t="n">
        <x:v>0</x:v>
      </x:c>
    </x:row>
    <x:row r="113" ht="21" customHeight="1">
      <x:c r="A113" s="6" t="n">
        <x:v>45980</x:v>
      </x:c>
      <x:c r="B113" s="2" t="str">
        <x:v>I04</x:v>
      </x:c>
      <x:c r="C113" s="2" t="n">
        <x:v>3</x:v>
      </x:c>
      <x:c r="D113" s="2" t="str">
        <x:v>Training</x:v>
      </x:c>
      <x:c r="E113" s="7" t="n">
        <x:v>9</x:v>
      </x:c>
      <x:c r="F113" s="2" t="n">
        <x:v>35</x:v>
      </x:c>
      <x:c r="G113" s="2" t="n">
        <x:v>6</x:v>
      </x:c>
      <x:c r="H113" s="2" t="n">
        <x:v>34</x:v>
      </x:c>
      <x:c r="I113" s="2" t="n">
        <x:v>0</x:v>
      </x:c>
      <x:c r="J113" s="2" t="n">
        <x:v>0</x:v>
      </x:c>
      <x:c r="K113" s="2" t="n">
        <x:v>0</x:v>
      </x:c>
    </x:row>
    <x:row r="114" ht="21" customHeight="1">
      <x:c r="A114" s="6" t="n">
        <x:v>45980</x:v>
      </x:c>
      <x:c r="B114" s="2" t="str">
        <x:v>I05</x:v>
      </x:c>
      <x:c r="C114" s="2" t="n">
        <x:v>3</x:v>
      </x:c>
      <x:c r="D114" s="2" t="str">
        <x:v>Training</x:v>
      </x:c>
      <x:c r="E114" s="7" t="n">
        <x:v>3.5</x:v>
      </x:c>
      <x:c r="F114" s="2" t="n">
        <x:v>80</x:v>
      </x:c>
      <x:c r="G114" s="2" t="n">
        <x:v>11</x:v>
      </x:c>
      <x:c r="H114" s="2" t="n">
        <x:v>81</x:v>
      </x:c>
      <x:c r="I114" s="2" t="n">
        <x:v>0</x:v>
      </x:c>
      <x:c r="J114" s="2" t="n">
        <x:v>0</x:v>
      </x:c>
      <x:c r="K114" s="2" t="n">
        <x:v>0</x:v>
      </x:c>
    </x:row>
    <x:row r="115" ht="21" customHeight="1">
      <x:c r="A115" s="6" t="n">
        <x:v>45980</x:v>
      </x:c>
      <x:c r="B115" s="2" t="str">
        <x:v>I06</x:v>
      </x:c>
      <x:c r="C115" s="2" t="n">
        <x:v>3</x:v>
      </x:c>
      <x:c r="D115" s="2" t="str">
        <x:v>Training</x:v>
      </x:c>
      <x:c r="E115" s="7" t="n">
        <x:v>3</x:v>
      </x:c>
      <x:c r="F115" s="2" t="n">
        <x:v>28</x:v>
      </x:c>
      <x:c r="G115" s="2" t="n">
        <x:v>4</x:v>
      </x:c>
      <x:c r="H115" s="2" t="n">
        <x:v>28</x:v>
      </x:c>
      <x:c r="I115" s="2" t="n">
        <x:v>0</x:v>
      </x:c>
      <x:c r="J115" s="2" t="n">
        <x:v>0</x:v>
      </x:c>
      <x:c r="K115" s="2" t="n">
        <x:v>0</x:v>
      </x:c>
    </x:row>
    <x:row r="116" ht="21" customHeight="1">
      <x:c r="A116" s="6" t="n">
        <x:v>45981</x:v>
      </x:c>
      <x:c r="B116" s="2" t="str">
        <x:v>I01</x:v>
      </x:c>
      <x:c r="C116" s="2" t="n">
        <x:v>4</x:v>
      </x:c>
      <x:c r="D116" s="2" t="str">
        <x:v>Training</x:v>
      </x:c>
      <x:c r="E116" s="7" t="n">
        <x:v>8.5</x:v>
      </x:c>
      <x:c r="F116" s="2" t="n">
        <x:v>74</x:v>
      </x:c>
      <x:c r="G116" s="2" t="n">
        <x:v>10</x:v>
      </x:c>
      <x:c r="H116" s="2" t="n">
        <x:v>75</x:v>
      </x:c>
      <x:c r="I116" s="2" t="n">
        <x:v>0</x:v>
      </x:c>
      <x:c r="J116" s="2" t="n">
        <x:v>0</x:v>
      </x:c>
      <x:c r="K116" s="2" t="n">
        <x:v>0</x:v>
      </x:c>
    </x:row>
    <x:row r="117" ht="21" customHeight="1">
      <x:c r="A117" s="6" t="n">
        <x:v>45981</x:v>
      </x:c>
      <x:c r="B117" s="2" t="str">
        <x:v>I02</x:v>
      </x:c>
      <x:c r="C117" s="2" t="n">
        <x:v>4</x:v>
      </x:c>
      <x:c r="D117" s="2" t="str">
        <x:v>Training</x:v>
      </x:c>
      <x:c r="E117" s="7" t="n">
        <x:v>8</x:v>
      </x:c>
      <x:c r="F117" s="2" t="n">
        <x:v>59</x:v>
      </x:c>
      <x:c r="G117" s="2" t="n">
        <x:v>8</x:v>
      </x:c>
      <x:c r="H117" s="2" t="n">
        <x:v>60</x:v>
      </x:c>
      <x:c r="I117" s="2" t="n">
        <x:v>0</x:v>
      </x:c>
      <x:c r="J117" s="2" t="n">
        <x:v>0</x:v>
      </x:c>
      <x:c r="K117" s="2" t="n">
        <x:v>0</x:v>
      </x:c>
    </x:row>
    <x:row r="118" ht="21" customHeight="1">
      <x:c r="A118" s="6" t="n">
        <x:v>45981</x:v>
      </x:c>
      <x:c r="B118" s="2" t="str">
        <x:v>I03</x:v>
      </x:c>
      <x:c r="C118" s="2" t="n">
        <x:v>4</x:v>
      </x:c>
      <x:c r="D118" s="2" t="str">
        <x:v>Training</x:v>
      </x:c>
      <x:c r="E118" s="7" t="n">
        <x:v>7.5</x:v>
      </x:c>
      <x:c r="F118" s="2" t="n">
        <x:v>33</x:v>
      </x:c>
      <x:c r="G118" s="2" t="n">
        <x:v>5</x:v>
      </x:c>
      <x:c r="H118" s="2" t="n">
        <x:v>33</x:v>
      </x:c>
      <x:c r="I118" s="2" t="n">
        <x:v>0</x:v>
      </x:c>
      <x:c r="J118" s="2" t="n">
        <x:v>0</x:v>
      </x:c>
      <x:c r="K118" s="2" t="n">
        <x:v>0</x:v>
      </x:c>
    </x:row>
    <x:row r="119" ht="21" customHeight="1">
      <x:c r="A119" s="6" t="n">
        <x:v>45981</x:v>
      </x:c>
      <x:c r="B119" s="2" t="str">
        <x:v>I04</x:v>
      </x:c>
      <x:c r="C119" s="2" t="n">
        <x:v>4</x:v>
      </x:c>
      <x:c r="D119" s="2" t="str">
        <x:v>Training</x:v>
      </x:c>
      <x:c r="E119" s="7" t="n">
        <x:v>9</x:v>
      </x:c>
      <x:c r="F119" s="2" t="n">
        <x:v>40</x:v>
      </x:c>
      <x:c r="G119" s="2" t="n">
        <x:v>5</x:v>
      </x:c>
      <x:c r="H119" s="2" t="n">
        <x:v>41</x:v>
      </x:c>
      <x:c r="I119" s="2" t="n">
        <x:v>0</x:v>
      </x:c>
      <x:c r="J119" s="2" t="n">
        <x:v>0</x:v>
      </x:c>
      <x:c r="K119" s="2" t="n">
        <x:v>0</x:v>
      </x:c>
    </x:row>
    <x:row r="120" ht="21" customHeight="1">
      <x:c r="A120" s="6" t="n">
        <x:v>45981</x:v>
      </x:c>
      <x:c r="B120" s="2" t="str">
        <x:v>I05</x:v>
      </x:c>
      <x:c r="C120" s="2" t="n">
        <x:v>4</x:v>
      </x:c>
      <x:c r="D120" s="2" t="str">
        <x:v>Training</x:v>
      </x:c>
      <x:c r="E120" s="7" t="n">
        <x:v>3.5</x:v>
      </x:c>
      <x:c r="F120" s="2" t="n">
        <x:v>79</x:v>
      </x:c>
      <x:c r="G120" s="2" t="n">
        <x:v>12</x:v>
      </x:c>
      <x:c r="H120" s="2" t="n">
        <x:v>79</x:v>
      </x:c>
      <x:c r="I120" s="2" t="n">
        <x:v>0</x:v>
      </x:c>
      <x:c r="J120" s="2" t="n">
        <x:v>0</x:v>
      </x:c>
      <x:c r="K120" s="2" t="n">
        <x:v>0</x:v>
      </x:c>
    </x:row>
    <x:row r="121" ht="21" customHeight="1">
      <x:c r="A121" s="6" t="n">
        <x:v>45981</x:v>
      </x:c>
      <x:c r="B121" s="2" t="str">
        <x:v>I06</x:v>
      </x:c>
      <x:c r="C121" s="2" t="n">
        <x:v>4</x:v>
      </x:c>
      <x:c r="D121" s="2" t="str">
        <x:v>Training</x:v>
      </x:c>
      <x:c r="E121" s="7" t="n">
        <x:v>3</x:v>
      </x:c>
      <x:c r="F121" s="2" t="n">
        <x:v>30</x:v>
      </x:c>
      <x:c r="G121" s="2" t="n">
        <x:v>4</x:v>
      </x:c>
      <x:c r="H121" s="2" t="n">
        <x:v>31</x:v>
      </x:c>
      <x:c r="I121" s="2" t="n">
        <x:v>0</x:v>
      </x:c>
      <x:c r="J121" s="2" t="n">
        <x:v>0</x:v>
      </x:c>
      <x:c r="K121" s="2" t="n">
        <x:v>0</x:v>
      </x:c>
    </x:row>
    <x:row r="122" ht="21" customHeight="1">
      <x:c r="A122" s="6" t="n">
        <x:v>45982</x:v>
      </x:c>
      <x:c r="B122" s="2" t="str">
        <x:v>I01</x:v>
      </x:c>
      <x:c r="C122" s="2" t="n">
        <x:v>5</x:v>
      </x:c>
      <x:c r="D122" s="2" t="str">
        <x:v>Training</x:v>
      </x:c>
      <x:c r="E122" s="7" t="n">
        <x:v>8.5</x:v>
      </x:c>
      <x:c r="F122" s="2" t="n">
        <x:v>81</x:v>
      </x:c>
      <x:c r="G122" s="2" t="n">
        <x:v>11</x:v>
      </x:c>
      <x:c r="H122" s="2" t="n">
        <x:v>82</x:v>
      </x:c>
      <x:c r="I122" s="2" t="n">
        <x:v>0</x:v>
      </x:c>
      <x:c r="J122" s="2" t="n">
        <x:v>0</x:v>
      </x:c>
      <x:c r="K122" s="2" t="n">
        <x:v>0</x:v>
      </x:c>
    </x:row>
    <x:row r="123" ht="21" customHeight="1">
      <x:c r="A123" s="6" t="n">
        <x:v>45982</x:v>
      </x:c>
      <x:c r="B123" s="2" t="str">
        <x:v>I02</x:v>
      </x:c>
      <x:c r="C123" s="2" t="n">
        <x:v>5</x:v>
      </x:c>
      <x:c r="D123" s="2" t="str">
        <x:v>Training</x:v>
      </x:c>
      <x:c r="E123" s="7" t="n">
        <x:v>8</x:v>
      </x:c>
      <x:c r="F123" s="2" t="n">
        <x:v>67</x:v>
      </x:c>
      <x:c r="G123" s="2" t="n">
        <x:v>9</x:v>
      </x:c>
      <x:c r="H123" s="2" t="n">
        <x:v>68</x:v>
      </x:c>
      <x:c r="I123" s="2" t="n">
        <x:v>0</x:v>
      </x:c>
      <x:c r="J123" s="2" t="n">
        <x:v>0</x:v>
      </x:c>
      <x:c r="K123" s="2" t="n">
        <x:v>0</x:v>
      </x:c>
    </x:row>
    <x:row r="124" ht="21" customHeight="1">
      <x:c r="A124" s="6" t="n">
        <x:v>45982</x:v>
      </x:c>
      <x:c r="B124" s="2" t="str">
        <x:v>I03</x:v>
      </x:c>
      <x:c r="C124" s="2" t="n">
        <x:v>5</x:v>
      </x:c>
      <x:c r="D124" s="2" t="str">
        <x:v>Training</x:v>
      </x:c>
      <x:c r="E124" s="7" t="n">
        <x:v>7.5</x:v>
      </x:c>
      <x:c r="F124" s="2" t="n">
        <x:v>41</x:v>
      </x:c>
      <x:c r="G124" s="2" t="n">
        <x:v>5</x:v>
      </x:c>
      <x:c r="H124" s="2" t="n">
        <x:v>42</x:v>
      </x:c>
      <x:c r="I124" s="2" t="n">
        <x:v>0</x:v>
      </x:c>
      <x:c r="J124" s="2" t="n">
        <x:v>0</x:v>
      </x:c>
      <x:c r="K124" s="2" t="n">
        <x:v>0</x:v>
      </x:c>
    </x:row>
    <x:row r="125" ht="21" customHeight="1">
      <x:c r="A125" s="6" t="n">
        <x:v>45982</x:v>
      </x:c>
      <x:c r="B125" s="2" t="str">
        <x:v>I04</x:v>
      </x:c>
      <x:c r="C125" s="2" t="n">
        <x:v>5</x:v>
      </x:c>
      <x:c r="D125" s="2" t="str">
        <x:v>Training</x:v>
      </x:c>
      <x:c r="E125" s="7" t="n">
        <x:v>9</x:v>
      </x:c>
      <x:c r="F125" s="2" t="n">
        <x:v>48</x:v>
      </x:c>
      <x:c r="G125" s="2" t="n">
        <x:v>6</x:v>
      </x:c>
      <x:c r="H125" s="2" t="n">
        <x:v>49</x:v>
      </x:c>
      <x:c r="I125" s="2" t="n">
        <x:v>0</x:v>
      </x:c>
      <x:c r="J125" s="2" t="n">
        <x:v>0</x:v>
      </x:c>
      <x:c r="K125" s="2" t="n">
        <x:v>0</x:v>
      </x:c>
    </x:row>
    <x:row r="126" ht="21" customHeight="1">
      <x:c r="A126" s="6" t="n">
        <x:v>45982</x:v>
      </x:c>
      <x:c r="B126" s="2" t="str">
        <x:v>I05</x:v>
      </x:c>
      <x:c r="C126" s="2" t="n">
        <x:v>5</x:v>
      </x:c>
      <x:c r="D126" s="2" t="str">
        <x:v>Training</x:v>
      </x:c>
      <x:c r="E126" s="7" t="n">
        <x:v>3.5</x:v>
      </x:c>
      <x:c r="F126" s="2" t="n">
        <x:v>94</x:v>
      </x:c>
      <x:c r="G126" s="2" t="n">
        <x:v>12</x:v>
      </x:c>
      <x:c r="H126" s="2" t="n">
        <x:v>96</x:v>
      </x:c>
      <x:c r="I126" s="2" t="n">
        <x:v>0</x:v>
      </x:c>
      <x:c r="J126" s="2" t="n">
        <x:v>0</x:v>
      </x:c>
      <x:c r="K126" s="2" t="n">
        <x:v>0</x:v>
      </x:c>
    </x:row>
    <x:row r="127" ht="21" customHeight="1">
      <x:c r="A127" s="6" t="n">
        <x:v>45982</x:v>
      </x:c>
      <x:c r="B127" s="2" t="str">
        <x:v>I06</x:v>
      </x:c>
      <x:c r="C127" s="2" t="n">
        <x:v>5</x:v>
      </x:c>
      <x:c r="D127" s="2" t="str">
        <x:v>Training</x:v>
      </x:c>
      <x:c r="E127" s="7" t="n">
        <x:v>3</x:v>
      </x:c>
      <x:c r="F127" s="2" t="n">
        <x:v>38</x:v>
      </x:c>
      <x:c r="G127" s="2" t="n">
        <x:v>5</x:v>
      </x:c>
      <x:c r="H127" s="2" t="n">
        <x:v>39</x:v>
      </x:c>
      <x:c r="I127" s="2" t="n">
        <x:v>0</x:v>
      </x:c>
      <x:c r="J127" s="2" t="n">
        <x:v>0</x:v>
      </x:c>
      <x:c r="K127" s="2" t="n">
        <x:v>0</x:v>
      </x:c>
    </x:row>
    <x:row r="128" ht="21" customHeight="1">
      <x:c r="A128" s="6" t="n">
        <x:v>45983</x:v>
      </x:c>
      <x:c r="B128" s="2" t="str">
        <x:v>I01</x:v>
      </x:c>
      <x:c r="C128" s="2" t="n">
        <x:v>6</x:v>
      </x:c>
      <x:c r="D128" s="2" t="str">
        <x:v>Training</x:v>
      </x:c>
      <x:c r="E128" s="7" t="n">
        <x:v>8.5</x:v>
      </x:c>
      <x:c r="F128" s="2" t="n">
        <x:v>96</x:v>
      </x:c>
      <x:c r="G128" s="2" t="n">
        <x:v>12</x:v>
      </x:c>
      <x:c r="H128" s="2" t="n">
        <x:v>98</x:v>
      </x:c>
      <x:c r="I128" s="2" t="n">
        <x:v>0</x:v>
      </x:c>
      <x:c r="J128" s="2" t="n">
        <x:v>0</x:v>
      </x:c>
      <x:c r="K128" s="2" t="n">
        <x:v>0</x:v>
      </x:c>
    </x:row>
    <x:row r="129" ht="21" customHeight="1">
      <x:c r="A129" s="6" t="n">
        <x:v>45983</x:v>
      </x:c>
      <x:c r="B129" s="2" t="str">
        <x:v>I02</x:v>
      </x:c>
      <x:c r="C129" s="2" t="n">
        <x:v>6</x:v>
      </x:c>
      <x:c r="D129" s="2" t="str">
        <x:v>Training</x:v>
      </x:c>
      <x:c r="E129" s="7" t="n">
        <x:v>8</x:v>
      </x:c>
      <x:c r="F129" s="2" t="n">
        <x:v>71</x:v>
      </x:c>
      <x:c r="G129" s="2" t="n">
        <x:v>10</x:v>
      </x:c>
      <x:c r="H129" s="2" t="n">
        <x:v>72</x:v>
      </x:c>
      <x:c r="I129" s="2" t="n">
        <x:v>0</x:v>
      </x:c>
      <x:c r="J129" s="2" t="n">
        <x:v>0</x:v>
      </x:c>
      <x:c r="K129" s="2" t="n">
        <x:v>0</x:v>
      </x:c>
    </x:row>
    <x:row r="130" ht="21" customHeight="1">
      <x:c r="A130" s="6" t="n">
        <x:v>45983</x:v>
      </x:c>
      <x:c r="B130" s="2" t="str">
        <x:v>I03</x:v>
      </x:c>
      <x:c r="C130" s="2" t="n">
        <x:v>6</x:v>
      </x:c>
      <x:c r="D130" s="2" t="str">
        <x:v>Training</x:v>
      </x:c>
      <x:c r="E130" s="7" t="n">
        <x:v>7.5</x:v>
      </x:c>
      <x:c r="F130" s="2" t="n">
        <x:v>43</x:v>
      </x:c>
      <x:c r="G130" s="2" t="n">
        <x:v>6</x:v>
      </x:c>
      <x:c r="H130" s="2" t="n">
        <x:v>43</x:v>
      </x:c>
      <x:c r="I130" s="2" t="n">
        <x:v>0</x:v>
      </x:c>
      <x:c r="J130" s="2" t="n">
        <x:v>0</x:v>
      </x:c>
      <x:c r="K130" s="2" t="n">
        <x:v>0</x:v>
      </x:c>
    </x:row>
    <x:row r="131" ht="21" customHeight="1">
      <x:c r="A131" s="6" t="n">
        <x:v>45983</x:v>
      </x:c>
      <x:c r="B131" s="2" t="str">
        <x:v>I04</x:v>
      </x:c>
      <x:c r="C131" s="2" t="n">
        <x:v>6</x:v>
      </x:c>
      <x:c r="D131" s="2" t="str">
        <x:v>Training</x:v>
      </x:c>
      <x:c r="E131" s="7" t="n">
        <x:v>9</x:v>
      </x:c>
      <x:c r="F131" s="2" t="n">
        <x:v>50</x:v>
      </x:c>
      <x:c r="G131" s="2" t="n">
        <x:v>7</x:v>
      </x:c>
      <x:c r="H131" s="2" t="n">
        <x:v>50</x:v>
      </x:c>
      <x:c r="I131" s="2" t="n">
        <x:v>0</x:v>
      </x:c>
      <x:c r="J131" s="2" t="n">
        <x:v>0</x:v>
      </x:c>
      <x:c r="K131" s="2" t="n">
        <x:v>0</x:v>
      </x:c>
    </x:row>
    <x:row r="132" ht="21" customHeight="1">
      <x:c r="A132" s="6" t="n">
        <x:v>45983</x:v>
      </x:c>
      <x:c r="B132" s="2" t="str">
        <x:v>I05</x:v>
      </x:c>
      <x:c r="C132" s="2" t="n">
        <x:v>6</x:v>
      </x:c>
      <x:c r="D132" s="2" t="str">
        <x:v>Training</x:v>
      </x:c>
      <x:c r="E132" s="7" t="n">
        <x:v>3.5</x:v>
      </x:c>
      <x:c r="F132" s="2" t="n">
        <x:v>109</x:v>
      </x:c>
      <x:c r="G132" s="2" t="n">
        <x:v>14</x:v>
      </x:c>
      <x:c r="H132" s="2" t="n">
        <x:v>111</x:v>
      </x:c>
      <x:c r="I132" s="2" t="n">
        <x:v>0</x:v>
      </x:c>
      <x:c r="J132" s="2" t="n">
        <x:v>0</x:v>
      </x:c>
      <x:c r="K132" s="2" t="n">
        <x:v>0</x:v>
      </x:c>
    </x:row>
    <x:row r="133" ht="21" customHeight="1">
      <x:c r="A133" s="6" t="n">
        <x:v>45983</x:v>
      </x:c>
      <x:c r="B133" s="2" t="str">
        <x:v>I06</x:v>
      </x:c>
      <x:c r="C133" s="2" t="n">
        <x:v>6</x:v>
      </x:c>
      <x:c r="D133" s="2" t="str">
        <x:v>Training</x:v>
      </x:c>
      <x:c r="E133" s="7" t="n">
        <x:v>3</x:v>
      </x:c>
      <x:c r="F133" s="2" t="n">
        <x:v>39</x:v>
      </x:c>
      <x:c r="G133" s="2" t="n">
        <x:v>6</x:v>
      </x:c>
      <x:c r="H133" s="2" t="n">
        <x:v>39</x:v>
      </x:c>
      <x:c r="I133" s="2" t="n">
        <x:v>0</x:v>
      </x:c>
      <x:c r="J133" s="2" t="n">
        <x:v>0</x:v>
      </x:c>
      <x:c r="K133" s="2" t="n">
        <x:v>0</x:v>
      </x:c>
    </x:row>
    <x:row r="134" ht="21" customHeight="1">
      <x:c r="A134" s="6" t="n">
        <x:v>45984</x:v>
      </x:c>
      <x:c r="B134" s="2" t="str">
        <x:v>I01</x:v>
      </x:c>
      <x:c r="C134" s="2" t="n">
        <x:v>7</x:v>
      </x:c>
      <x:c r="D134" s="2" t="str">
        <x:v>Training</x:v>
      </x:c>
      <x:c r="E134" s="7" t="n">
        <x:v>8.5</x:v>
      </x:c>
      <x:c r="F134" s="2" t="n">
        <x:v>83</x:v>
      </x:c>
      <x:c r="G134" s="2" t="n">
        <x:v>14</x:v>
      </x:c>
      <x:c r="H134" s="2" t="n">
        <x:v>81</x:v>
      </x:c>
      <x:c r="I134" s="2" t="n">
        <x:v>0</x:v>
      </x:c>
      <x:c r="J134" s="2" t="n">
        <x:v>0</x:v>
      </x:c>
      <x:c r="K134" s="2" t="n">
        <x:v>0</x:v>
      </x:c>
    </x:row>
    <x:row r="135" ht="21" customHeight="1">
      <x:c r="A135" s="6" t="n">
        <x:v>45984</x:v>
      </x:c>
      <x:c r="B135" s="2" t="str">
        <x:v>I02</x:v>
      </x:c>
      <x:c r="C135" s="2" t="n">
        <x:v>7</x:v>
      </x:c>
      <x:c r="D135" s="2" t="str">
        <x:v>Training</x:v>
      </x:c>
      <x:c r="E135" s="7" t="n">
        <x:v>8</x:v>
      </x:c>
      <x:c r="F135" s="2" t="n">
        <x:v>64</x:v>
      </x:c>
      <x:c r="G135" s="2" t="n">
        <x:v>11</x:v>
      </x:c>
      <x:c r="H135" s="2" t="n">
        <x:v>63</x:v>
      </x:c>
      <x:c r="I135" s="2" t="n">
        <x:v>0</x:v>
      </x:c>
      <x:c r="J135" s="2" t="n">
        <x:v>0</x:v>
      </x:c>
      <x:c r="K135" s="2" t="n">
        <x:v>0</x:v>
      </x:c>
    </x:row>
    <x:row r="136" ht="21" customHeight="1">
      <x:c r="A136" s="6" t="n">
        <x:v>45984</x:v>
      </x:c>
      <x:c r="B136" s="2" t="str">
        <x:v>I03</x:v>
      </x:c>
      <x:c r="C136" s="2" t="n">
        <x:v>7</x:v>
      </x:c>
      <x:c r="D136" s="2" t="str">
        <x:v>Training</x:v>
      </x:c>
      <x:c r="E136" s="7" t="n">
        <x:v>7.5</x:v>
      </x:c>
      <x:c r="F136" s="2" t="n">
        <x:v>37</x:v>
      </x:c>
      <x:c r="G136" s="2" t="n">
        <x:v>6</x:v>
      </x:c>
      <x:c r="H136" s="2" t="n">
        <x:v>37</x:v>
      </x:c>
      <x:c r="I136" s="2" t="n">
        <x:v>0</x:v>
      </x:c>
      <x:c r="J136" s="2" t="n">
        <x:v>0</x:v>
      </x:c>
      <x:c r="K136" s="2" t="n">
        <x:v>0</x:v>
      </x:c>
    </x:row>
    <x:row r="137" ht="21" customHeight="1">
      <x:c r="A137" s="6" t="n">
        <x:v>45984</x:v>
      </x:c>
      <x:c r="B137" s="2" t="str">
        <x:v>I04</x:v>
      </x:c>
      <x:c r="C137" s="2" t="n">
        <x:v>7</x:v>
      </x:c>
      <x:c r="D137" s="2" t="str">
        <x:v>Training</x:v>
      </x:c>
      <x:c r="E137" s="7" t="n">
        <x:v>9</x:v>
      </x:c>
      <x:c r="F137" s="2" t="n">
        <x:v>45</x:v>
      </x:c>
      <x:c r="G137" s="2" t="n">
        <x:v>7</x:v>
      </x:c>
      <x:c r="H137" s="2" t="n">
        <x:v>45</x:v>
      </x:c>
      <x:c r="I137" s="2" t="n">
        <x:v>0</x:v>
      </x:c>
      <x:c r="J137" s="2" t="n">
        <x:v>0</x:v>
      </x:c>
      <x:c r="K137" s="2" t="n">
        <x:v>0</x:v>
      </x:c>
    </x:row>
    <x:row r="138" ht="21" customHeight="1">
      <x:c r="A138" s="6" t="n">
        <x:v>45984</x:v>
      </x:c>
      <x:c r="B138" s="2" t="str">
        <x:v>I05</x:v>
      </x:c>
      <x:c r="C138" s="2" t="n">
        <x:v>7</x:v>
      </x:c>
      <x:c r="D138" s="2" t="str">
        <x:v>Training</x:v>
      </x:c>
      <x:c r="E138" s="7" t="n">
        <x:v>3.5</x:v>
      </x:c>
      <x:c r="F138" s="2" t="n">
        <x:v>89</x:v>
      </x:c>
      <x:c r="G138" s="2" t="n">
        <x:v>16</x:v>
      </x:c>
      <x:c r="H138" s="2" t="n">
        <x:v>86</x:v>
      </x:c>
      <x:c r="I138" s="2" t="n">
        <x:v>0</x:v>
      </x:c>
      <x:c r="J138" s="2" t="n">
        <x:v>0</x:v>
      </x:c>
      <x:c r="K138" s="2" t="n">
        <x:v>0</x:v>
      </x:c>
    </x:row>
    <x:row r="139" ht="21" customHeight="1">
      <x:c r="A139" s="6" t="n">
        <x:v>45984</x:v>
      </x:c>
      <x:c r="B139" s="2" t="str">
        <x:v>I06</x:v>
      </x:c>
      <x:c r="C139" s="2" t="n">
        <x:v>7</x:v>
      </x:c>
      <x:c r="D139" s="2" t="str">
        <x:v>Training</x:v>
      </x:c>
      <x:c r="E139" s="7" t="n">
        <x:v>3</x:v>
      </x:c>
      <x:c r="F139" s="2" t="n">
        <x:v>34</x:v>
      </x:c>
      <x:c r="G139" s="2" t="n">
        <x:v>6</x:v>
      </x:c>
      <x:c r="H139" s="2" t="n">
        <x:v>33</x:v>
      </x:c>
      <x:c r="I139" s="2" t="n">
        <x:v>0</x:v>
      </x:c>
      <x:c r="J139" s="2" t="n">
        <x:v>0</x:v>
      </x:c>
      <x:c r="K139" s="2" t="n">
        <x:v>0</x:v>
      </x:c>
    </x:row>
    <x:row r="140" ht="21" customHeight="1">
      <x:c r="A140" s="6" t="n">
        <x:v>45985</x:v>
      </x:c>
      <x:c r="B140" s="2" t="str">
        <x:v>I01</x:v>
      </x:c>
      <x:c r="C140" s="2" t="n">
        <x:v>1</x:v>
      </x:c>
      <x:c r="D140" s="2" t="str">
        <x:v>Training</x:v>
      </x:c>
      <x:c r="E140" s="7" t="n">
        <x:v>8.5</x:v>
      </x:c>
      <x:c r="F140" s="2" t="n">
        <x:v>64</x:v>
      </x:c>
      <x:c r="G140" s="2" t="n">
        <x:v>12</x:v>
      </x:c>
      <x:c r="H140" s="2" t="n">
        <x:v>62</x:v>
      </x:c>
      <x:c r="I140" s="2" t="n">
        <x:v>0</x:v>
      </x:c>
      <x:c r="J140" s="2" t="n">
        <x:v>0</x:v>
      </x:c>
      <x:c r="K140" s="2" t="n">
        <x:v>0</x:v>
      </x:c>
    </x:row>
    <x:row r="141" ht="21" customHeight="1">
      <x:c r="A141" s="6" t="n">
        <x:v>45985</x:v>
      </x:c>
      <x:c r="B141" s="2" t="str">
        <x:v>I02</x:v>
      </x:c>
      <x:c r="C141" s="2" t="n">
        <x:v>1</x:v>
      </x:c>
      <x:c r="D141" s="2" t="str">
        <x:v>Training</x:v>
      </x:c>
      <x:c r="E141" s="7" t="n">
        <x:v>8</x:v>
      </x:c>
      <x:c r="F141" s="2" t="n">
        <x:v>50</x:v>
      </x:c>
      <x:c r="G141" s="2" t="n">
        <x:v>10</x:v>
      </x:c>
      <x:c r="H141" s="2" t="n">
        <x:v>47</x:v>
      </x:c>
      <x:c r="I141" s="2" t="n">
        <x:v>0</x:v>
      </x:c>
      <x:c r="J141" s="2" t="n">
        <x:v>0</x:v>
      </x:c>
      <x:c r="K141" s="2" t="n">
        <x:v>0</x:v>
      </x:c>
    </x:row>
    <x:row r="142" ht="21" customHeight="1">
      <x:c r="A142" s="6" t="n">
        <x:v>45985</x:v>
      </x:c>
      <x:c r="B142" s="2" t="str">
        <x:v>I03</x:v>
      </x:c>
      <x:c r="C142" s="2" t="n">
        <x:v>1</x:v>
      </x:c>
      <x:c r="D142" s="2" t="str">
        <x:v>Training</x:v>
      </x:c>
      <x:c r="E142" s="7" t="n">
        <x:v>7.5</x:v>
      </x:c>
      <x:c r="F142" s="2" t="n">
        <x:v>28</x:v>
      </x:c>
      <x:c r="G142" s="2" t="n">
        <x:v>6</x:v>
      </x:c>
      <x:c r="H142" s="2" t="n">
        <x:v>26</x:v>
      </x:c>
      <x:c r="I142" s="2" t="n">
        <x:v>0</x:v>
      </x:c>
      <x:c r="J142" s="2" t="n">
        <x:v>0</x:v>
      </x:c>
      <x:c r="K142" s="2" t="n">
        <x:v>0</x:v>
      </x:c>
    </x:row>
    <x:row r="143" ht="21" customHeight="1">
      <x:c r="A143" s="6" t="n">
        <x:v>45985</x:v>
      </x:c>
      <x:c r="B143" s="2" t="str">
        <x:v>I04</x:v>
      </x:c>
      <x:c r="C143" s="2" t="n">
        <x:v>1</x:v>
      </x:c>
      <x:c r="D143" s="2" t="str">
        <x:v>Training</x:v>
      </x:c>
      <x:c r="E143" s="7" t="n">
        <x:v>9</x:v>
      </x:c>
      <x:c r="F143" s="2" t="n">
        <x:v>34</x:v>
      </x:c>
      <x:c r="G143" s="2" t="n">
        <x:v>7</x:v>
      </x:c>
      <x:c r="H143" s="2" t="n">
        <x:v>32</x:v>
      </x:c>
      <x:c r="I143" s="2" t="n">
        <x:v>0</x:v>
      </x:c>
      <x:c r="J143" s="2" t="n">
        <x:v>0</x:v>
      </x:c>
      <x:c r="K143" s="2" t="n">
        <x:v>0</x:v>
      </x:c>
    </x:row>
    <x:row r="144" ht="21" customHeight="1">
      <x:c r="A144" s="6" t="n">
        <x:v>45985</x:v>
      </x:c>
      <x:c r="B144" s="2" t="str">
        <x:v>I05</x:v>
      </x:c>
      <x:c r="C144" s="2" t="n">
        <x:v>1</x:v>
      </x:c>
      <x:c r="D144" s="2" t="str">
        <x:v>Training</x:v>
      </x:c>
      <x:c r="E144" s="7" t="n">
        <x:v>3.5</x:v>
      </x:c>
      <x:c r="F144" s="2" t="n">
        <x:v>66</x:v>
      </x:c>
      <x:c r="G144" s="2" t="n">
        <x:v>13</x:v>
      </x:c>
      <x:c r="H144" s="2" t="n">
        <x:v>63</x:v>
      </x:c>
      <x:c r="I144" s="2" t="n">
        <x:v>0</x:v>
      </x:c>
      <x:c r="J144" s="2" t="n">
        <x:v>0</x:v>
      </x:c>
      <x:c r="K144" s="2" t="n">
        <x:v>0</x:v>
      </x:c>
    </x:row>
    <x:row r="145" ht="21" customHeight="1">
      <x:c r="A145" s="6" t="n">
        <x:v>45985</x:v>
      </x:c>
      <x:c r="B145" s="2" t="str">
        <x:v>I06</x:v>
      </x:c>
      <x:c r="C145" s="2" t="n">
        <x:v>1</x:v>
      </x:c>
      <x:c r="D145" s="2" t="str">
        <x:v>Training</x:v>
      </x:c>
      <x:c r="E145" s="7" t="n">
        <x:v>3</x:v>
      </x:c>
      <x:c r="F145" s="2" t="n">
        <x:v>26</x:v>
      </x:c>
      <x:c r="G145" s="2" t="n">
        <x:v>5</x:v>
      </x:c>
      <x:c r="H145" s="2" t="n">
        <x:v>25</x:v>
      </x:c>
      <x:c r="I145" s="2" t="n">
        <x:v>0</x:v>
      </x:c>
      <x:c r="J145" s="2" t="n">
        <x:v>0</x:v>
      </x:c>
      <x:c r="K145" s="2" t="n">
        <x:v>0</x:v>
      </x:c>
    </x:row>
    <x:row r="146" ht="21" customHeight="1">
      <x:c r="A146" s="6" t="n">
        <x:v>45986</x:v>
      </x:c>
      <x:c r="B146" s="2" t="str">
        <x:v>I01</x:v>
      </x:c>
      <x:c r="C146" s="2" t="n">
        <x:v>2</x:v>
      </x:c>
      <x:c r="D146" s="2" t="str">
        <x:v>Training</x:v>
      </x:c>
      <x:c r="E146" s="7" t="n">
        <x:v>8.5</x:v>
      </x:c>
      <x:c r="F146" s="2" t="n">
        <x:v>63</x:v>
      </x:c>
      <x:c r="G146" s="2" t="n">
        <x:v>10</x:v>
      </x:c>
      <x:c r="H146" s="2" t="n">
        <x:v>62</x:v>
      </x:c>
      <x:c r="I146" s="2" t="n">
        <x:v>0</x:v>
      </x:c>
      <x:c r="J146" s="2" t="n">
        <x:v>0</x:v>
      </x:c>
      <x:c r="K146" s="2" t="n">
        <x:v>0</x:v>
      </x:c>
    </x:row>
    <x:row r="147" ht="21" customHeight="1">
      <x:c r="A147" s="6" t="n">
        <x:v>45986</x:v>
      </x:c>
      <x:c r="B147" s="2" t="str">
        <x:v>I02</x:v>
      </x:c>
      <x:c r="C147" s="2" t="n">
        <x:v>2</x:v>
      </x:c>
      <x:c r="D147" s="2" t="str">
        <x:v>Training</x:v>
      </x:c>
      <x:c r="E147" s="7" t="n">
        <x:v>8</x:v>
      </x:c>
      <x:c r="F147" s="2" t="n">
        <x:v>54</x:v>
      </x:c>
      <x:c r="G147" s="2" t="n">
        <x:v>7</x:v>
      </x:c>
      <x:c r="H147" s="2" t="n">
        <x:v>55</x:v>
      </x:c>
      <x:c r="I147" s="2" t="n">
        <x:v>0</x:v>
      </x:c>
      <x:c r="J147" s="2" t="n">
        <x:v>0</x:v>
      </x:c>
      <x:c r="K147" s="2" t="n">
        <x:v>0</x:v>
      </x:c>
    </x:row>
    <x:row r="148" ht="21" customHeight="1">
      <x:c r="A148" s="6" t="n">
        <x:v>45986</x:v>
      </x:c>
      <x:c r="B148" s="2" t="str">
        <x:v>I03</x:v>
      </x:c>
      <x:c r="C148" s="2" t="n">
        <x:v>2</x:v>
      </x:c>
      <x:c r="D148" s="2" t="str">
        <x:v>Training</x:v>
      </x:c>
      <x:c r="E148" s="7" t="n">
        <x:v>7.5</x:v>
      </x:c>
      <x:c r="F148" s="2" t="n">
        <x:v>31</x:v>
      </x:c>
      <x:c r="G148" s="2" t="n">
        <x:v>4</x:v>
      </x:c>
      <x:c r="H148" s="2" t="n">
        <x:v>32</x:v>
      </x:c>
      <x:c r="I148" s="2" t="n">
        <x:v>0</x:v>
      </x:c>
      <x:c r="J148" s="2" t="n">
        <x:v>0</x:v>
      </x:c>
      <x:c r="K148" s="2" t="n">
        <x:v>0</x:v>
      </x:c>
    </x:row>
    <x:row r="149" ht="21" customHeight="1">
      <x:c r="A149" s="6" t="n">
        <x:v>45986</x:v>
      </x:c>
      <x:c r="B149" s="2" t="str">
        <x:v>I04</x:v>
      </x:c>
      <x:c r="C149" s="2" t="n">
        <x:v>2</x:v>
      </x:c>
      <x:c r="D149" s="2" t="str">
        <x:v>Training</x:v>
      </x:c>
      <x:c r="E149" s="7" t="n">
        <x:v>9</x:v>
      </x:c>
      <x:c r="F149" s="2" t="n">
        <x:v>37</x:v>
      </x:c>
      <x:c r="G149" s="2" t="n">
        <x:v>5</x:v>
      </x:c>
      <x:c r="H149" s="2" t="n">
        <x:v>38</x:v>
      </x:c>
      <x:c r="I149" s="2" t="n">
        <x:v>0</x:v>
      </x:c>
      <x:c r="J149" s="2" t="n">
        <x:v>0</x:v>
      </x:c>
      <x:c r="K149" s="2" t="n">
        <x:v>0</x:v>
      </x:c>
    </x:row>
    <x:row r="150" ht="21" customHeight="1">
      <x:c r="A150" s="6" t="n">
        <x:v>45986</x:v>
      </x:c>
      <x:c r="B150" s="2" t="str">
        <x:v>I05</x:v>
      </x:c>
      <x:c r="C150" s="2" t="n">
        <x:v>2</x:v>
      </x:c>
      <x:c r="D150" s="2" t="str">
        <x:v>Training</x:v>
      </x:c>
      <x:c r="E150" s="7" t="n">
        <x:v>3.5</x:v>
      </x:c>
      <x:c r="F150" s="2" t="n">
        <x:v>78</x:v>
      </x:c>
      <x:c r="G150" s="2" t="n">
        <x:v>10</x:v>
      </x:c>
      <x:c r="H150" s="2" t="n">
        <x:v>80</x:v>
      </x:c>
      <x:c r="I150" s="2" t="n">
        <x:v>0</x:v>
      </x:c>
      <x:c r="J150" s="2" t="n">
        <x:v>0</x:v>
      </x:c>
      <x:c r="K150" s="2" t="n">
        <x:v>0</x:v>
      </x:c>
    </x:row>
    <x:row r="151" ht="21" customHeight="1">
      <x:c r="A151" s="6" t="n">
        <x:v>45986</x:v>
      </x:c>
      <x:c r="B151" s="2" t="str">
        <x:v>I06</x:v>
      </x:c>
      <x:c r="C151" s="2" t="n">
        <x:v>2</x:v>
      </x:c>
      <x:c r="D151" s="2" t="str">
        <x:v>Training</x:v>
      </x:c>
      <x:c r="E151" s="7" t="n">
        <x:v>3</x:v>
      </x:c>
      <x:c r="F151" s="2" t="n">
        <x:v>27</x:v>
      </x:c>
      <x:c r="G151" s="2" t="n">
        <x:v>4</x:v>
      </x:c>
      <x:c r="H151" s="2" t="n">
        <x:v>27</x:v>
      </x:c>
      <x:c r="I151" s="2" t="n">
        <x:v>0</x:v>
      </x:c>
      <x:c r="J151" s="2" t="n">
        <x:v>0</x:v>
      </x:c>
      <x:c r="K151" s="2" t="n">
        <x:v>0</x:v>
      </x:c>
    </x:row>
    <x:row r="152" ht="21" customHeight="1">
      <x:c r="A152" s="6" t="n">
        <x:v>45987</x:v>
      </x:c>
      <x:c r="B152" s="2" t="str">
        <x:v>I01</x:v>
      </x:c>
      <x:c r="C152" s="2" t="n">
        <x:v>3</x:v>
      </x:c>
      <x:c r="D152" s="2" t="str">
        <x:v>Training</x:v>
      </x:c>
      <x:c r="E152" s="7" t="n">
        <x:v>8.5</x:v>
      </x:c>
      <x:c r="F152" s="2" t="n">
        <x:v>69</x:v>
      </x:c>
      <x:c r="G152" s="2" t="n">
        <x:v>9</x:v>
      </x:c>
      <x:c r="H152" s="2" t="n">
        <x:v>70</x:v>
      </x:c>
      <x:c r="I152" s="2" t="n">
        <x:v>0</x:v>
      </x:c>
      <x:c r="J152" s="2" t="n">
        <x:v>0</x:v>
      </x:c>
      <x:c r="K152" s="2" t="n">
        <x:v>0</x:v>
      </x:c>
    </x:row>
    <x:row r="153" ht="21" customHeight="1">
      <x:c r="A153" s="6" t="n">
        <x:v>45987</x:v>
      </x:c>
      <x:c r="B153" s="2" t="str">
        <x:v>I02</x:v>
      </x:c>
      <x:c r="C153" s="2" t="n">
        <x:v>3</x:v>
      </x:c>
      <x:c r="D153" s="2" t="str">
        <x:v>Training</x:v>
      </x:c>
      <x:c r="E153" s="7" t="n">
        <x:v>8</x:v>
      </x:c>
      <x:c r="F153" s="2" t="n">
        <x:v>55</x:v>
      </x:c>
      <x:c r="G153" s="2" t="n">
        <x:v>8</x:v>
      </x:c>
      <x:c r="H153" s="2" t="n">
        <x:v>55</x:v>
      </x:c>
      <x:c r="I153" s="2" t="n">
        <x:v>0</x:v>
      </x:c>
      <x:c r="J153" s="2" t="n">
        <x:v>0</x:v>
      </x:c>
      <x:c r="K153" s="2" t="n">
        <x:v>0</x:v>
      </x:c>
    </x:row>
    <x:row r="154" ht="21" customHeight="1">
      <x:c r="A154" s="6" t="n">
        <x:v>45987</x:v>
      </x:c>
      <x:c r="B154" s="2" t="str">
        <x:v>I03</x:v>
      </x:c>
      <x:c r="C154" s="2" t="n">
        <x:v>3</x:v>
      </x:c>
      <x:c r="D154" s="2" t="str">
        <x:v>Training</x:v>
      </x:c>
      <x:c r="E154" s="7" t="n">
        <x:v>7.5</x:v>
      </x:c>
      <x:c r="F154" s="2" t="n">
        <x:v>32</x:v>
      </x:c>
      <x:c r="G154" s="2" t="n">
        <x:v>5</x:v>
      </x:c>
      <x:c r="H154" s="2" t="n">
        <x:v>32</x:v>
      </x:c>
      <x:c r="I154" s="2" t="n">
        <x:v>0</x:v>
      </x:c>
      <x:c r="J154" s="2" t="n">
        <x:v>0</x:v>
      </x:c>
      <x:c r="K154" s="2" t="n">
        <x:v>0</x:v>
      </x:c>
    </x:row>
    <x:row r="155" ht="21" customHeight="1">
      <x:c r="A155" s="6" t="n">
        <x:v>45987</x:v>
      </x:c>
      <x:c r="B155" s="2" t="str">
        <x:v>I04</x:v>
      </x:c>
      <x:c r="C155" s="2" t="n">
        <x:v>3</x:v>
      </x:c>
      <x:c r="D155" s="2" t="str">
        <x:v>Training</x:v>
      </x:c>
      <x:c r="E155" s="7" t="n">
        <x:v>9</x:v>
      </x:c>
      <x:c r="F155" s="2" t="n">
        <x:v>38</x:v>
      </x:c>
      <x:c r="G155" s="2" t="n">
        <x:v>6</x:v>
      </x:c>
      <x:c r="H155" s="2" t="n">
        <x:v>38</x:v>
      </x:c>
      <x:c r="I155" s="2" t="n">
        <x:v>0</x:v>
      </x:c>
      <x:c r="J155" s="2" t="n">
        <x:v>0</x:v>
      </x:c>
      <x:c r="K155" s="2" t="n">
        <x:v>0</x:v>
      </x:c>
    </x:row>
    <x:row r="156" ht="21" customHeight="1">
      <x:c r="A156" s="6" t="n">
        <x:v>45987</x:v>
      </x:c>
      <x:c r="B156" s="2" t="str">
        <x:v>I05</x:v>
      </x:c>
      <x:c r="C156" s="2" t="n">
        <x:v>3</x:v>
      </x:c>
      <x:c r="D156" s="2" t="str">
        <x:v>Training</x:v>
      </x:c>
      <x:c r="E156" s="7" t="n">
        <x:v>3.5</x:v>
      </x:c>
      <x:c r="F156" s="2" t="n">
        <x:v>74</x:v>
      </x:c>
      <x:c r="G156" s="2" t="n">
        <x:v>12</x:v>
      </x:c>
      <x:c r="H156" s="2" t="n">
        <x:v>73</x:v>
      </x:c>
      <x:c r="I156" s="2" t="n">
        <x:v>0</x:v>
      </x:c>
      <x:c r="J156" s="2" t="n">
        <x:v>0</x:v>
      </x:c>
      <x:c r="K156" s="2" t="n">
        <x:v>0</x:v>
      </x:c>
    </x:row>
    <x:row r="157" ht="21" customHeight="1">
      <x:c r="A157" s="6" t="n">
        <x:v>45987</x:v>
      </x:c>
      <x:c r="B157" s="2" t="str">
        <x:v>I06</x:v>
      </x:c>
      <x:c r="C157" s="2" t="n">
        <x:v>3</x:v>
      </x:c>
      <x:c r="D157" s="2" t="str">
        <x:v>Training</x:v>
      </x:c>
      <x:c r="E157" s="7" t="n">
        <x:v>3</x:v>
      </x:c>
      <x:c r="F157" s="2" t="n">
        <x:v>29</x:v>
      </x:c>
      <x:c r="G157" s="2" t="n">
        <x:v>4</x:v>
      </x:c>
      <x:c r="H157" s="2" t="n">
        <x:v>29</x:v>
      </x:c>
      <x:c r="I157" s="2" t="n">
        <x:v>0</x:v>
      </x:c>
      <x:c r="J157" s="2" t="n">
        <x:v>0</x:v>
      </x:c>
      <x:c r="K157" s="2" t="n">
        <x:v>0</x:v>
      </x:c>
    </x:row>
    <x:row r="158" ht="21" customHeight="1">
      <x:c r="A158" s="6" t="n">
        <x:v>45988</x:v>
      </x:c>
      <x:c r="B158" s="2" t="str">
        <x:v>I01</x:v>
      </x:c>
      <x:c r="C158" s="2" t="n">
        <x:v>4</x:v>
      </x:c>
      <x:c r="D158" s="2" t="str">
        <x:v>Training</x:v>
      </x:c>
      <x:c r="E158" s="7" t="n">
        <x:v>8.5</x:v>
      </x:c>
      <x:c r="F158" s="2" t="n">
        <x:v>68</x:v>
      </x:c>
      <x:c r="G158" s="2" t="n">
        <x:v>10</x:v>
      </x:c>
      <x:c r="H158" s="2" t="n">
        <x:v>68</x:v>
      </x:c>
      <x:c r="I158" s="2" t="n">
        <x:v>0</x:v>
      </x:c>
      <x:c r="J158" s="2" t="n">
        <x:v>0</x:v>
      </x:c>
      <x:c r="K158" s="2" t="n">
        <x:v>0</x:v>
      </x:c>
    </x:row>
    <x:row r="159" ht="21" customHeight="1">
      <x:c r="A159" s="6" t="n">
        <x:v>45988</x:v>
      </x:c>
      <x:c r="B159" s="2" t="str">
        <x:v>I02</x:v>
      </x:c>
      <x:c r="C159" s="2" t="n">
        <x:v>4</x:v>
      </x:c>
      <x:c r="D159" s="2" t="str">
        <x:v>Training</x:v>
      </x:c>
      <x:c r="E159" s="7" t="n">
        <x:v>8</x:v>
      </x:c>
      <x:c r="F159" s="2" t="n">
        <x:v>58</x:v>
      </x:c>
      <x:c r="G159" s="2" t="n">
        <x:v>8</x:v>
      </x:c>
      <x:c r="H159" s="2" t="n">
        <x:v>59</x:v>
      </x:c>
      <x:c r="I159" s="2" t="n">
        <x:v>0</x:v>
      </x:c>
      <x:c r="J159" s="2" t="n">
        <x:v>0</x:v>
      </x:c>
      <x:c r="K159" s="2" t="n">
        <x:v>0</x:v>
      </x:c>
    </x:row>
    <x:row r="160" ht="21" customHeight="1">
      <x:c r="A160" s="6" t="n">
        <x:v>45988</x:v>
      </x:c>
      <x:c r="B160" s="2" t="str">
        <x:v>I03</x:v>
      </x:c>
      <x:c r="C160" s="2" t="n">
        <x:v>4</x:v>
      </x:c>
      <x:c r="D160" s="2" t="str">
        <x:v>Training</x:v>
      </x:c>
      <x:c r="E160" s="7" t="n">
        <x:v>7.5</x:v>
      </x:c>
      <x:c r="F160" s="2" t="n">
        <x:v>34</x:v>
      </x:c>
      <x:c r="G160" s="2" t="n">
        <x:v>5</x:v>
      </x:c>
      <x:c r="H160" s="2" t="n">
        <x:v>34</x:v>
      </x:c>
      <x:c r="I160" s="2" t="n">
        <x:v>0</x:v>
      </x:c>
      <x:c r="J160" s="2" t="n">
        <x:v>0</x:v>
      </x:c>
      <x:c r="K160" s="2" t="n">
        <x:v>0</x:v>
      </x:c>
    </x:row>
    <x:row r="161" ht="21" customHeight="1">
      <x:c r="A161" s="6" t="n">
        <x:v>45988</x:v>
      </x:c>
      <x:c r="B161" s="2" t="str">
        <x:v>I04</x:v>
      </x:c>
      <x:c r="C161" s="2" t="n">
        <x:v>4</x:v>
      </x:c>
      <x:c r="D161" s="2" t="str">
        <x:v>Training</x:v>
      </x:c>
      <x:c r="E161" s="7" t="n">
        <x:v>9</x:v>
      </x:c>
      <x:c r="F161" s="2" t="n">
        <x:v>42</x:v>
      </x:c>
      <x:c r="G161" s="2" t="n">
        <x:v>6</x:v>
      </x:c>
      <x:c r="H161" s="2" t="n">
        <x:v>42</x:v>
      </x:c>
      <x:c r="I161" s="2" t="n">
        <x:v>0</x:v>
      </x:c>
      <x:c r="J161" s="2" t="n">
        <x:v>0</x:v>
      </x:c>
      <x:c r="K161" s="2" t="n">
        <x:v>0</x:v>
      </x:c>
    </x:row>
    <x:row r="162" ht="21" customHeight="1">
      <x:c r="A162" s="6" t="n">
        <x:v>45988</x:v>
      </x:c>
      <x:c r="B162" s="2" t="str">
        <x:v>I05</x:v>
      </x:c>
      <x:c r="C162" s="2" t="n">
        <x:v>4</x:v>
      </x:c>
      <x:c r="D162" s="2" t="str">
        <x:v>Training</x:v>
      </x:c>
      <x:c r="E162" s="7" t="n">
        <x:v>3.5</x:v>
      </x:c>
      <x:c r="F162" s="2" t="n">
        <x:v>85</x:v>
      </x:c>
      <x:c r="G162" s="2" t="n">
        <x:v>11</x:v>
      </x:c>
      <x:c r="H162" s="2" t="n">
        <x:v>87</x:v>
      </x:c>
      <x:c r="I162" s="2" t="n">
        <x:v>0</x:v>
      </x:c>
      <x:c r="J162" s="2" t="n">
        <x:v>0</x:v>
      </x:c>
      <x:c r="K162" s="2" t="n">
        <x:v>0</x:v>
      </x:c>
    </x:row>
    <x:row r="163" ht="21" customHeight="1">
      <x:c r="A163" s="6" t="n">
        <x:v>45988</x:v>
      </x:c>
      <x:c r="B163" s="2" t="str">
        <x:v>I06</x:v>
      </x:c>
      <x:c r="C163" s="2" t="n">
        <x:v>4</x:v>
      </x:c>
      <x:c r="D163" s="2" t="str">
        <x:v>Training</x:v>
      </x:c>
      <x:c r="E163" s="7" t="n">
        <x:v>3</x:v>
      </x:c>
      <x:c r="F163" s="2" t="n">
        <x:v>31</x:v>
      </x:c>
      <x:c r="G163" s="2" t="n">
        <x:v>4</x:v>
      </x:c>
      <x:c r="H163" s="2" t="n">
        <x:v>32</x:v>
      </x:c>
      <x:c r="I163" s="2" t="n">
        <x:v>0</x:v>
      </x:c>
      <x:c r="J163" s="2" t="n">
        <x:v>0</x:v>
      </x:c>
      <x:c r="K163" s="2" t="n">
        <x:v>0</x:v>
      </x:c>
    </x:row>
    <x:row r="164" ht="21" customHeight="1">
      <x:c r="A164" s="6" t="n">
        <x:v>45989</x:v>
      </x:c>
      <x:c r="B164" s="2" t="str">
        <x:v>I01</x:v>
      </x:c>
      <x:c r="C164" s="2" t="n">
        <x:v>5</x:v>
      </x:c>
      <x:c r="D164" s="2" t="str">
        <x:v>Training</x:v>
      </x:c>
      <x:c r="E164" s="7" t="n">
        <x:v>8.5</x:v>
      </x:c>
      <x:c r="F164" s="2" t="n">
        <x:v>82</x:v>
      </x:c>
      <x:c r="G164" s="2" t="n">
        <x:v>10</x:v>
      </x:c>
      <x:c r="H164" s="2" t="n">
        <x:v>84</x:v>
      </x:c>
      <x:c r="I164" s="2" t="n">
        <x:v>0</x:v>
      </x:c>
      <x:c r="J164" s="2" t="n">
        <x:v>0</x:v>
      </x:c>
      <x:c r="K164" s="2" t="n">
        <x:v>0</x:v>
      </x:c>
    </x:row>
    <x:row r="165" ht="21" customHeight="1">
      <x:c r="A165" s="6" t="n">
        <x:v>45989</x:v>
      </x:c>
      <x:c r="B165" s="2" t="str">
        <x:v>I02</x:v>
      </x:c>
      <x:c r="C165" s="2" t="n">
        <x:v>5</x:v>
      </x:c>
      <x:c r="D165" s="2" t="str">
        <x:v>Training</x:v>
      </x:c>
      <x:c r="E165" s="7" t="n">
        <x:v>8</x:v>
      </x:c>
      <x:c r="F165" s="2" t="n">
        <x:v>67</x:v>
      </x:c>
      <x:c r="G165" s="2" t="n">
        <x:v>9</x:v>
      </x:c>
      <x:c r="H165" s="2" t="n">
        <x:v>68</x:v>
      </x:c>
      <x:c r="I165" s="2" t="n">
        <x:v>0</x:v>
      </x:c>
      <x:c r="J165" s="2" t="n">
        <x:v>0</x:v>
      </x:c>
      <x:c r="K165" s="2" t="n">
        <x:v>0</x:v>
      </x:c>
    </x:row>
    <x:row r="166" ht="21" customHeight="1">
      <x:c r="A166" s="6" t="n">
        <x:v>45989</x:v>
      </x:c>
      <x:c r="B166" s="2" t="str">
        <x:v>I03</x:v>
      </x:c>
      <x:c r="C166" s="2" t="n">
        <x:v>5</x:v>
      </x:c>
      <x:c r="D166" s="2" t="str">
        <x:v>Training</x:v>
      </x:c>
      <x:c r="E166" s="7" t="n">
        <x:v>7.5</x:v>
      </x:c>
      <x:c r="F166" s="2" t="n">
        <x:v>39</x:v>
      </x:c>
      <x:c r="G166" s="2" t="n">
        <x:v>5</x:v>
      </x:c>
      <x:c r="H166" s="2" t="n">
        <x:v>40</x:v>
      </x:c>
      <x:c r="I166" s="2" t="n">
        <x:v>0</x:v>
      </x:c>
      <x:c r="J166" s="2" t="n">
        <x:v>0</x:v>
      </x:c>
      <x:c r="K166" s="2" t="n">
        <x:v>0</x:v>
      </x:c>
    </x:row>
    <x:row r="167" ht="21" customHeight="1">
      <x:c r="A167" s="6" t="n">
        <x:v>45989</x:v>
      </x:c>
      <x:c r="B167" s="2" t="str">
        <x:v>I04</x:v>
      </x:c>
      <x:c r="C167" s="2" t="n">
        <x:v>5</x:v>
      </x:c>
      <x:c r="D167" s="2" t="str">
        <x:v>Training</x:v>
      </x:c>
      <x:c r="E167" s="7" t="n">
        <x:v>9</x:v>
      </x:c>
      <x:c r="F167" s="2" t="n">
        <x:v>50</x:v>
      </x:c>
      <x:c r="G167" s="2" t="n">
        <x:v>6</x:v>
      </x:c>
      <x:c r="H167" s="2" t="n">
        <x:v>51</x:v>
      </x:c>
      <x:c r="I167" s="2" t="n">
        <x:v>0</x:v>
      </x:c>
      <x:c r="J167" s="2" t="n">
        <x:v>0</x:v>
      </x:c>
      <x:c r="K167" s="2" t="n">
        <x:v>0</x:v>
      </x:c>
    </x:row>
    <x:row r="168" ht="21" customHeight="1">
      <x:c r="A168" s="6" t="n">
        <x:v>45989</x:v>
      </x:c>
      <x:c r="B168" s="2" t="str">
        <x:v>I05</x:v>
      </x:c>
      <x:c r="C168" s="2" t="n">
        <x:v>5</x:v>
      </x:c>
      <x:c r="D168" s="2" t="str">
        <x:v>Training</x:v>
      </x:c>
      <x:c r="E168" s="7" t="n">
        <x:v>3.5</x:v>
      </x:c>
      <x:c r="F168" s="2" t="n">
        <x:v>102</x:v>
      </x:c>
      <x:c r="G168" s="2" t="n">
        <x:v>13</x:v>
      </x:c>
      <x:c r="H168" s="2" t="n">
        <x:v>104</x:v>
      </x:c>
      <x:c r="I168" s="2" t="n">
        <x:v>0</x:v>
      </x:c>
      <x:c r="J168" s="2" t="n">
        <x:v>0</x:v>
      </x:c>
      <x:c r="K168" s="2" t="n">
        <x:v>0</x:v>
      </x:c>
    </x:row>
    <x:row r="169" ht="21" customHeight="1">
      <x:c r="A169" s="6" t="n">
        <x:v>45989</x:v>
      </x:c>
      <x:c r="B169" s="2" t="str">
        <x:v>I06</x:v>
      </x:c>
      <x:c r="C169" s="2" t="n">
        <x:v>5</x:v>
      </x:c>
      <x:c r="D169" s="2" t="str">
        <x:v>Training</x:v>
      </x:c>
      <x:c r="E169" s="7" t="n">
        <x:v>3</x:v>
      </x:c>
      <x:c r="F169" s="2" t="n">
        <x:v>38</x:v>
      </x:c>
      <x:c r="G169" s="2" t="n">
        <x:v>5</x:v>
      </x:c>
      <x:c r="H169" s="2" t="n">
        <x:v>39</x:v>
      </x:c>
      <x:c r="I169" s="2" t="n">
        <x:v>0</x:v>
      </x:c>
      <x:c r="J169" s="2" t="n">
        <x:v>0</x:v>
      </x:c>
      <x:c r="K169" s="2" t="n">
        <x:v>0</x:v>
      </x:c>
    </x:row>
    <x:row r="170" ht="21" customHeight="1">
      <x:c r="A170" s="6" t="n">
        <x:v>45990</x:v>
      </x:c>
      <x:c r="B170" s="2" t="str">
        <x:v>I01</x:v>
      </x:c>
      <x:c r="C170" s="2" t="n">
        <x:v>6</x:v>
      </x:c>
      <x:c r="D170" s="2" t="str">
        <x:v>Training</x:v>
      </x:c>
      <x:c r="E170" s="7" t="n">
        <x:v>8.5</x:v>
      </x:c>
      <x:c r="F170" s="2" t="n">
        <x:v>89</x:v>
      </x:c>
      <x:c r="G170" s="2" t="n">
        <x:v>12</x:v>
      </x:c>
      <x:c r="H170" s="2" t="n">
        <x:v>90</x:v>
      </x:c>
      <x:c r="I170" s="2" t="n">
        <x:v>0</x:v>
      </x:c>
      <x:c r="J170" s="2" t="n">
        <x:v>0</x:v>
      </x:c>
      <x:c r="K170" s="2" t="n">
        <x:v>0</x:v>
      </x:c>
    </x:row>
    <x:row r="171" ht="21" customHeight="1">
      <x:c r="A171" s="6" t="n">
        <x:v>45990</x:v>
      </x:c>
      <x:c r="B171" s="2" t="str">
        <x:v>I02</x:v>
      </x:c>
      <x:c r="C171" s="2" t="n">
        <x:v>6</x:v>
      </x:c>
      <x:c r="D171" s="2" t="str">
        <x:v>Training</x:v>
      </x:c>
      <x:c r="E171" s="7" t="n">
        <x:v>8</x:v>
      </x:c>
      <x:c r="F171" s="2" t="n">
        <x:v>75</x:v>
      </x:c>
      <x:c r="G171" s="2" t="n">
        <x:v>10</x:v>
      </x:c>
      <x:c r="H171" s="2" t="n">
        <x:v>76</x:v>
      </x:c>
      <x:c r="I171" s="2" t="n">
        <x:v>0</x:v>
      </x:c>
      <x:c r="J171" s="2" t="n">
        <x:v>0</x:v>
      </x:c>
      <x:c r="K171" s="2" t="n">
        <x:v>0</x:v>
      </x:c>
    </x:row>
    <x:row r="172" ht="21" customHeight="1">
      <x:c r="A172" s="6" t="n">
        <x:v>45990</x:v>
      </x:c>
      <x:c r="B172" s="2" t="str">
        <x:v>I03</x:v>
      </x:c>
      <x:c r="C172" s="2" t="n">
        <x:v>6</x:v>
      </x:c>
      <x:c r="D172" s="2" t="str">
        <x:v>Training</x:v>
      </x:c>
      <x:c r="E172" s="7" t="n">
        <x:v>7.5</x:v>
      </x:c>
      <x:c r="F172" s="2" t="n">
        <x:v>43</x:v>
      </x:c>
      <x:c r="G172" s="2" t="n">
        <x:v>6</x:v>
      </x:c>
      <x:c r="H172" s="2" t="n">
        <x:v>43</x:v>
      </x:c>
      <x:c r="I172" s="2" t="n">
        <x:v>0</x:v>
      </x:c>
      <x:c r="J172" s="2" t="n">
        <x:v>0</x:v>
      </x:c>
      <x:c r="K172" s="2" t="n">
        <x:v>0</x:v>
      </x:c>
    </x:row>
    <x:row r="173" ht="21" customHeight="1">
      <x:c r="A173" s="6" t="n">
        <x:v>45990</x:v>
      </x:c>
      <x:c r="B173" s="2" t="str">
        <x:v>I04</x:v>
      </x:c>
      <x:c r="C173" s="2" t="n">
        <x:v>6</x:v>
      </x:c>
      <x:c r="D173" s="2" t="str">
        <x:v>Training</x:v>
      </x:c>
      <x:c r="E173" s="7" t="n">
        <x:v>9</x:v>
      </x:c>
      <x:c r="F173" s="2" t="n">
        <x:v>54</x:v>
      </x:c>
      <x:c r="G173" s="2" t="n">
        <x:v>7</x:v>
      </x:c>
      <x:c r="H173" s="2" t="n">
        <x:v>55</x:v>
      </x:c>
      <x:c r="I173" s="2" t="n">
        <x:v>0</x:v>
      </x:c>
      <x:c r="J173" s="2" t="n">
        <x:v>0</x:v>
      </x:c>
      <x:c r="K173" s="2" t="n">
        <x:v>0</x:v>
      </x:c>
    </x:row>
    <x:row r="174" ht="21" customHeight="1">
      <x:c r="A174" s="6" t="n">
        <x:v>45990</x:v>
      </x:c>
      <x:c r="B174" s="2" t="str">
        <x:v>I05</x:v>
      </x:c>
      <x:c r="C174" s="2" t="n">
        <x:v>6</x:v>
      </x:c>
      <x:c r="D174" s="2" t="str">
        <x:v>Training</x:v>
      </x:c>
      <x:c r="E174" s="7" t="n">
        <x:v>3.5</x:v>
      </x:c>
      <x:c r="F174" s="2" t="n">
        <x:v>101</x:v>
      </x:c>
      <x:c r="G174" s="2" t="n">
        <x:v>15</x:v>
      </x:c>
      <x:c r="H174" s="2" t="n">
        <x:v>101</x:v>
      </x:c>
      <x:c r="I174" s="2" t="n">
        <x:v>0</x:v>
      </x:c>
      <x:c r="J174" s="2" t="n">
        <x:v>0</x:v>
      </x:c>
      <x:c r="K174" s="2" t="n">
        <x:v>0</x:v>
      </x:c>
    </x:row>
    <x:row r="175" ht="21" customHeight="1">
      <x:c r="A175" s="6" t="n">
        <x:v>45990</x:v>
      </x:c>
      <x:c r="B175" s="2" t="str">
        <x:v>I06</x:v>
      </x:c>
      <x:c r="C175" s="2" t="n">
        <x:v>6</x:v>
      </x:c>
      <x:c r="D175" s="2" t="str">
        <x:v>Training</x:v>
      </x:c>
      <x:c r="E175" s="7" t="n">
        <x:v>3</x:v>
      </x:c>
      <x:c r="F175" s="2" t="n">
        <x:v>40</x:v>
      </x:c>
      <x:c r="G175" s="2" t="n">
        <x:v>6</x:v>
      </x:c>
      <x:c r="H175" s="2" t="n">
        <x:v>40</x:v>
      </x:c>
      <x:c r="I175" s="2" t="n">
        <x:v>0</x:v>
      </x:c>
      <x:c r="J175" s="2" t="n">
        <x:v>0</x:v>
      </x:c>
      <x:c r="K175" s="2" t="n">
        <x:v>0</x:v>
      </x:c>
    </x:row>
    <x:row r="176" ht="21" customHeight="1">
      <x:c r="A176" s="6" t="n">
        <x:v>45991</x:v>
      </x:c>
      <x:c r="B176" s="2" t="str">
        <x:v>I01</x:v>
      </x:c>
      <x:c r="C176" s="2" t="n">
        <x:v>7</x:v>
      </x:c>
      <x:c r="D176" s="2" t="str">
        <x:v>Training</x:v>
      </x:c>
      <x:c r="E176" s="7" t="n">
        <x:v>8.5</x:v>
      </x:c>
      <x:c r="F176" s="2" t="n">
        <x:v>80</x:v>
      </x:c>
      <x:c r="G176" s="2" t="n">
        <x:v>13</x:v>
      </x:c>
      <x:c r="H176" s="2" t="n">
        <x:v>79</x:v>
      </x:c>
      <x:c r="I176" s="2" t="n">
        <x:v>0</x:v>
      </x:c>
      <x:c r="J176" s="2" t="n">
        <x:v>0</x:v>
      </x:c>
      <x:c r="K176" s="2" t="n">
        <x:v>0</x:v>
      </x:c>
    </x:row>
    <x:row r="177" ht="21" customHeight="1">
      <x:c r="A177" s="6" t="n">
        <x:v>45991</x:v>
      </x:c>
      <x:c r="B177" s="2" t="str">
        <x:v>I02</x:v>
      </x:c>
      <x:c r="C177" s="2" t="n">
        <x:v>7</x:v>
      </x:c>
      <x:c r="D177" s="2" t="str">
        <x:v>Training</x:v>
      </x:c>
      <x:c r="E177" s="7" t="n">
        <x:v>8</x:v>
      </x:c>
      <x:c r="F177" s="2" t="n">
        <x:v>65</x:v>
      </x:c>
      <x:c r="G177" s="2" t="n">
        <x:v>11</x:v>
      </x:c>
      <x:c r="H177" s="2" t="n">
        <x:v>64</x:v>
      </x:c>
      <x:c r="I177" s="2" t="n">
        <x:v>0</x:v>
      </x:c>
      <x:c r="J177" s="2" t="n">
        <x:v>0</x:v>
      </x:c>
      <x:c r="K177" s="2" t="n">
        <x:v>0</x:v>
      </x:c>
    </x:row>
    <x:row r="178" ht="21" customHeight="1">
      <x:c r="A178" s="6" t="n">
        <x:v>45991</x:v>
      </x:c>
      <x:c r="B178" s="2" t="str">
        <x:v>I03</x:v>
      </x:c>
      <x:c r="C178" s="2" t="n">
        <x:v>7</x:v>
      </x:c>
      <x:c r="D178" s="2" t="str">
        <x:v>Training</x:v>
      </x:c>
      <x:c r="E178" s="7" t="n">
        <x:v>7.5</x:v>
      </x:c>
      <x:c r="F178" s="2" t="n">
        <x:v>38</x:v>
      </x:c>
      <x:c r="G178" s="2" t="n">
        <x:v>6</x:v>
      </x:c>
      <x:c r="H178" s="2" t="n">
        <x:v>38</x:v>
      </x:c>
      <x:c r="I178" s="2" t="n">
        <x:v>0</x:v>
      </x:c>
      <x:c r="J178" s="2" t="n">
        <x:v>0</x:v>
      </x:c>
      <x:c r="K178" s="2" t="n">
        <x:v>0</x:v>
      </x:c>
    </x:row>
    <x:row r="179" ht="21" customHeight="1">
      <x:c r="A179" s="6" t="n">
        <x:v>45991</x:v>
      </x:c>
      <x:c r="B179" s="2" t="str">
        <x:v>I04</x:v>
      </x:c>
      <x:c r="C179" s="2" t="n">
        <x:v>7</x:v>
      </x:c>
      <x:c r="D179" s="2" t="str">
        <x:v>Training</x:v>
      </x:c>
      <x:c r="E179" s="7" t="n">
        <x:v>9</x:v>
      </x:c>
      <x:c r="F179" s="2" t="n">
        <x:v>44</x:v>
      </x:c>
      <x:c r="G179" s="2" t="n">
        <x:v>8</x:v>
      </x:c>
      <x:c r="H179" s="2" t="n">
        <x:v>43</x:v>
      </x:c>
      <x:c r="I179" s="2" t="n">
        <x:v>0</x:v>
      </x:c>
      <x:c r="J179" s="2" t="n">
        <x:v>0</x:v>
      </x:c>
      <x:c r="K179" s="2" t="n">
        <x:v>0</x:v>
      </x:c>
    </x:row>
    <x:row r="180" ht="21" customHeight="1">
      <x:c r="A180" s="6" t="n">
        <x:v>45991</x:v>
      </x:c>
      <x:c r="B180" s="2" t="str">
        <x:v>I05</x:v>
      </x:c>
      <x:c r="C180" s="2" t="n">
        <x:v>7</x:v>
      </x:c>
      <x:c r="D180" s="2" t="str">
        <x:v>Training</x:v>
      </x:c>
      <x:c r="E180" s="7" t="n">
        <x:v>3.5</x:v>
      </x:c>
      <x:c r="F180" s="2" t="n">
        <x:v>92</x:v>
      </x:c>
      <x:c r="G180" s="2" t="n">
        <x:v>15</x:v>
      </x:c>
      <x:c r="H180" s="2" t="n">
        <x:v>91</x:v>
      </x:c>
      <x:c r="I180" s="2" t="n">
        <x:v>0</x:v>
      </x:c>
      <x:c r="J180" s="2" t="n">
        <x:v>0</x:v>
      </x:c>
      <x:c r="K180" s="2" t="n">
        <x:v>0</x:v>
      </x:c>
    </x:row>
    <x:row r="181" ht="21" customHeight="1">
      <x:c r="A181" s="6" t="n">
        <x:v>45991</x:v>
      </x:c>
      <x:c r="B181" s="2" t="str">
        <x:v>I06</x:v>
      </x:c>
      <x:c r="C181" s="2" t="n">
        <x:v>7</x:v>
      </x:c>
      <x:c r="D181" s="2" t="str">
        <x:v>Training</x:v>
      </x:c>
      <x:c r="E181" s="7" t="n">
        <x:v>3</x:v>
      </x:c>
      <x:c r="F181" s="2" t="n">
        <x:v>34</x:v>
      </x:c>
      <x:c r="G181" s="2" t="n">
        <x:v>6</x:v>
      </x:c>
      <x:c r="H181" s="2" t="n">
        <x:v>33</x:v>
      </x:c>
      <x:c r="I181" s="2" t="n">
        <x:v>0</x:v>
      </x:c>
      <x:c r="J181" s="2" t="n">
        <x:v>0</x:v>
      </x:c>
      <x:c r="K181" s="2" t="n">
        <x:v>0</x:v>
      </x:c>
    </x:row>
    <x:row r="182" ht="21" customHeight="1">
      <x:c r="A182" s="6" t="n">
        <x:v>45992</x:v>
      </x:c>
      <x:c r="B182" s="2" t="str">
        <x:v>I01</x:v>
      </x:c>
      <x:c r="C182" s="2" t="n">
        <x:v>1</x:v>
      </x:c>
      <x:c r="D182" s="2" t="str">
        <x:v>December normal</x:v>
      </x:c>
      <x:c r="E182" s="7" t="n">
        <x:v>8.5</x:v>
      </x:c>
      <x:c r="F182" s="2" t="n">
        <x:v>65</x:v>
      </x:c>
      <x:c r="G182" s="2" t="n">
        <x:v>12</x:v>
      </x:c>
      <x:c r="H182" s="2" t="n">
        <x:v>63</x:v>
      </x:c>
      <x:c r="I182" s="2" t="n">
        <x:v>0</x:v>
      </x:c>
      <x:c r="J182" s="2" t="n">
        <x:v>0</x:v>
      </x:c>
      <x:c r="K182" s="2" t="n">
        <x:v>0</x:v>
      </x:c>
    </x:row>
    <x:row r="183" ht="21" customHeight="1">
      <x:c r="A183" s="6" t="n">
        <x:v>45992</x:v>
      </x:c>
      <x:c r="B183" s="2" t="str">
        <x:v>I02</x:v>
      </x:c>
      <x:c r="C183" s="2" t="n">
        <x:v>1</x:v>
      </x:c>
      <x:c r="D183" s="2" t="str">
        <x:v>December normal</x:v>
      </x:c>
      <x:c r="E183" s="7" t="n">
        <x:v>8</x:v>
      </x:c>
      <x:c r="F183" s="2" t="n">
        <x:v>53</x:v>
      </x:c>
      <x:c r="G183" s="2" t="n">
        <x:v>10</x:v>
      </x:c>
      <x:c r="H183" s="2" t="n">
        <x:v>51</x:v>
      </x:c>
      <x:c r="I183" s="2" t="n">
        <x:v>0</x:v>
      </x:c>
      <x:c r="J183" s="2" t="n">
        <x:v>0</x:v>
      </x:c>
      <x:c r="K183" s="2" t="n">
        <x:v>0</x:v>
      </x:c>
    </x:row>
    <x:row r="184" ht="21" customHeight="1">
      <x:c r="A184" s="6" t="n">
        <x:v>45992</x:v>
      </x:c>
      <x:c r="B184" s="2" t="str">
        <x:v>I03</x:v>
      </x:c>
      <x:c r="C184" s="2" t="n">
        <x:v>1</x:v>
      </x:c>
      <x:c r="D184" s="2" t="str">
        <x:v>December normal</x:v>
      </x:c>
      <x:c r="E184" s="7" t="n">
        <x:v>7.5</x:v>
      </x:c>
      <x:c r="F184" s="2" t="n">
        <x:v>31</x:v>
      </x:c>
      <x:c r="G184" s="2" t="n">
        <x:v>6</x:v>
      </x:c>
      <x:c r="H184" s="2" t="n">
        <x:v>30</x:v>
      </x:c>
      <x:c r="I184" s="2" t="n">
        <x:v>0</x:v>
      </x:c>
      <x:c r="J184" s="2" t="n">
        <x:v>0</x:v>
      </x:c>
      <x:c r="K184" s="2" t="n">
        <x:v>0</x:v>
      </x:c>
    </x:row>
    <x:row r="185" ht="21" customHeight="1">
      <x:c r="A185" s="6" t="n">
        <x:v>45992</x:v>
      </x:c>
      <x:c r="B185" s="2" t="str">
        <x:v>I04</x:v>
      </x:c>
      <x:c r="C185" s="2" t="n">
        <x:v>1</x:v>
      </x:c>
      <x:c r="D185" s="2" t="str">
        <x:v>December normal</x:v>
      </x:c>
      <x:c r="E185" s="7" t="n">
        <x:v>9</x:v>
      </x:c>
      <x:c r="F185" s="2" t="n">
        <x:v>36</x:v>
      </x:c>
      <x:c r="G185" s="2" t="n">
        <x:v>7</x:v>
      </x:c>
      <x:c r="H185" s="2" t="n">
        <x:v>34</x:v>
      </x:c>
      <x:c r="I185" s="2" t="n">
        <x:v>0</x:v>
      </x:c>
      <x:c r="J185" s="2" t="n">
        <x:v>0</x:v>
      </x:c>
      <x:c r="K185" s="2" t="n">
        <x:v>0</x:v>
      </x:c>
    </x:row>
    <x:row r="186" ht="21" customHeight="1">
      <x:c r="A186" s="6" t="n">
        <x:v>45992</x:v>
      </x:c>
      <x:c r="B186" s="2" t="str">
        <x:v>I05</x:v>
      </x:c>
      <x:c r="C186" s="2" t="n">
        <x:v>1</x:v>
      </x:c>
      <x:c r="D186" s="2" t="str">
        <x:v>December normal</x:v>
      </x:c>
      <x:c r="E186" s="7" t="n">
        <x:v>3.5</x:v>
      </x:c>
      <x:c r="F186" s="2" t="n">
        <x:v>76</x:v>
      </x:c>
      <x:c r="G186" s="2" t="n">
        <x:v>14</x:v>
      </x:c>
      <x:c r="H186" s="2" t="n">
        <x:v>73</x:v>
      </x:c>
      <x:c r="I186" s="2" t="n">
        <x:v>0</x:v>
      </x:c>
      <x:c r="J186" s="2" t="n">
        <x:v>0</x:v>
      </x:c>
      <x:c r="K186" s="2" t="n">
        <x:v>0</x:v>
      </x:c>
    </x:row>
    <x:row r="187" ht="21" customHeight="1">
      <x:c r="A187" s="6" t="n">
        <x:v>45992</x:v>
      </x:c>
      <x:c r="B187" s="2" t="str">
        <x:v>I06</x:v>
      </x:c>
      <x:c r="C187" s="2" t="n">
        <x:v>1</x:v>
      </x:c>
      <x:c r="D187" s="2" t="str">
        <x:v>December normal</x:v>
      </x:c>
      <x:c r="E187" s="7" t="n">
        <x:v>3</x:v>
      </x:c>
      <x:c r="F187" s="2" t="n">
        <x:v>27</x:v>
      </x:c>
      <x:c r="G187" s="2" t="n">
        <x:v>5</x:v>
      </x:c>
      <x:c r="H187" s="2" t="n">
        <x:v>26</x:v>
      </x:c>
      <x:c r="I187" s="2" t="n">
        <x:v>0</x:v>
      </x:c>
      <x:c r="J187" s="2" t="n">
        <x:v>0</x:v>
      </x:c>
      <x:c r="K187" s="2" t="n">
        <x:v>0</x:v>
      </x:c>
    </x:row>
    <x:row r="188" ht="21" customHeight="1">
      <x:c r="A188" s="6" t="n">
        <x:v>45993</x:v>
      </x:c>
      <x:c r="B188" s="2" t="str">
        <x:v>I01</x:v>
      </x:c>
      <x:c r="C188" s="2" t="n">
        <x:v>2</x:v>
      </x:c>
      <x:c r="D188" s="2" t="str">
        <x:v>December normal</x:v>
      </x:c>
      <x:c r="E188" s="7" t="n">
        <x:v>8.5</x:v>
      </x:c>
      <x:c r="F188" s="2" t="n">
        <x:v>67</x:v>
      </x:c>
      <x:c r="G188" s="2" t="n">
        <x:v>10</x:v>
      </x:c>
      <x:c r="H188" s="2" t="n">
        <x:v>67</x:v>
      </x:c>
      <x:c r="I188" s="2" t="n">
        <x:v>0</x:v>
      </x:c>
      <x:c r="J188" s="2" t="n">
        <x:v>0</x:v>
      </x:c>
      <x:c r="K188" s="2" t="n">
        <x:v>0</x:v>
      </x:c>
    </x:row>
    <x:row r="189" ht="21" customHeight="1">
      <x:c r="A189" s="6" t="n">
        <x:v>45993</x:v>
      </x:c>
      <x:c r="B189" s="2" t="str">
        <x:v>I02</x:v>
      </x:c>
      <x:c r="C189" s="2" t="n">
        <x:v>2</x:v>
      </x:c>
      <x:c r="D189" s="2" t="str">
        <x:v>December normal</x:v>
      </x:c>
      <x:c r="E189" s="7" t="n">
        <x:v>8</x:v>
      </x:c>
      <x:c r="F189" s="2" t="n">
        <x:v>55</x:v>
      </x:c>
      <x:c r="G189" s="2" t="n">
        <x:v>8</x:v>
      </x:c>
      <x:c r="H189" s="2" t="n">
        <x:v>55</x:v>
      </x:c>
      <x:c r="I189" s="2" t="n">
        <x:v>0</x:v>
      </x:c>
      <x:c r="J189" s="2" t="n">
        <x:v>0</x:v>
      </x:c>
      <x:c r="K189" s="2" t="n">
        <x:v>0</x:v>
      </x:c>
    </x:row>
    <x:row r="190" ht="21" customHeight="1">
      <x:c r="A190" s="6" t="n">
        <x:v>45993</x:v>
      </x:c>
      <x:c r="B190" s="2" t="str">
        <x:v>I03</x:v>
      </x:c>
      <x:c r="C190" s="2" t="n">
        <x:v>2</x:v>
      </x:c>
      <x:c r="D190" s="2" t="str">
        <x:v>December normal</x:v>
      </x:c>
      <x:c r="E190" s="7" t="n">
        <x:v>7.5</x:v>
      </x:c>
      <x:c r="F190" s="2" t="n">
        <x:v>30</x:v>
      </x:c>
      <x:c r="G190" s="2" t="n">
        <x:v>5</x:v>
      </x:c>
      <x:c r="H190" s="2" t="n">
        <x:v>30</x:v>
      </x:c>
      <x:c r="I190" s="2" t="n">
        <x:v>0</x:v>
      </x:c>
      <x:c r="J190" s="2" t="n">
        <x:v>0</x:v>
      </x:c>
      <x:c r="K190" s="2" t="n">
        <x:v>0</x:v>
      </x:c>
    </x:row>
    <x:row r="191" ht="21" customHeight="1">
      <x:c r="A191" s="6" t="n">
        <x:v>45993</x:v>
      </x:c>
      <x:c r="B191" s="2" t="str">
        <x:v>I04</x:v>
      </x:c>
      <x:c r="C191" s="2" t="n">
        <x:v>2</x:v>
      </x:c>
      <x:c r="D191" s="2" t="str">
        <x:v>December normal</x:v>
      </x:c>
      <x:c r="E191" s="7" t="n">
        <x:v>9</x:v>
      </x:c>
      <x:c r="F191" s="2" t="n">
        <x:v>38</x:v>
      </x:c>
      <x:c r="G191" s="2" t="n">
        <x:v>5</x:v>
      </x:c>
      <x:c r="H191" s="2" t="n">
        <x:v>39</x:v>
      </x:c>
      <x:c r="I191" s="2" t="n">
        <x:v>0</x:v>
      </x:c>
      <x:c r="J191" s="2" t="n">
        <x:v>0</x:v>
      </x:c>
      <x:c r="K191" s="2" t="n">
        <x:v>0</x:v>
      </x:c>
    </x:row>
    <x:row r="192" ht="21" customHeight="1">
      <x:c r="A192" s="6" t="n">
        <x:v>45993</x:v>
      </x:c>
      <x:c r="B192" s="2" t="str">
        <x:v>I05</x:v>
      </x:c>
      <x:c r="C192" s="2" t="n">
        <x:v>2</x:v>
      </x:c>
      <x:c r="D192" s="2" t="str">
        <x:v>December normal</x:v>
      </x:c>
      <x:c r="E192" s="7" t="n">
        <x:v>3.5</x:v>
      </x:c>
      <x:c r="F192" s="2" t="n">
        <x:v>77</x:v>
      </x:c>
      <x:c r="G192" s="2" t="n">
        <x:v>11</x:v>
      </x:c>
      <x:c r="H192" s="2" t="n">
        <x:v>78</x:v>
      </x:c>
      <x:c r="I192" s="2" t="n">
        <x:v>0</x:v>
      </x:c>
      <x:c r="J192" s="2" t="n">
        <x:v>0</x:v>
      </x:c>
      <x:c r="K192" s="2" t="n">
        <x:v>0</x:v>
      </x:c>
    </x:row>
    <x:row r="193" ht="21" customHeight="1">
      <x:c r="A193" s="6" t="n">
        <x:v>45993</x:v>
      </x:c>
      <x:c r="B193" s="2" t="str">
        <x:v>I06</x:v>
      </x:c>
      <x:c r="C193" s="2" t="n">
        <x:v>2</x:v>
      </x:c>
      <x:c r="D193" s="2" t="str">
        <x:v>December normal</x:v>
      </x:c>
      <x:c r="E193" s="7" t="n">
        <x:v>3</x:v>
      </x:c>
      <x:c r="F193" s="2" t="n">
        <x:v>31</x:v>
      </x:c>
      <x:c r="G193" s="2" t="n">
        <x:v>4</x:v>
      </x:c>
      <x:c r="H193" s="2" t="n">
        <x:v>32</x:v>
      </x:c>
      <x:c r="I193" s="2" t="n">
        <x:v>0</x:v>
      </x:c>
      <x:c r="J193" s="2" t="n">
        <x:v>0</x:v>
      </x:c>
      <x:c r="K193" s="2" t="n">
        <x:v>0</x:v>
      </x:c>
    </x:row>
    <x:row r="194" ht="21" customHeight="1">
      <x:c r="A194" s="6" t="n">
        <x:v>45994</x:v>
      </x:c>
      <x:c r="B194" s="2" t="str">
        <x:v>I01</x:v>
      </x:c>
      <x:c r="C194" s="2" t="n">
        <x:v>3</x:v>
      </x:c>
      <x:c r="D194" s="2" t="str">
        <x:v>December normal</x:v>
      </x:c>
      <x:c r="E194" s="7" t="n">
        <x:v>8.5</x:v>
      </x:c>
      <x:c r="F194" s="2" t="n">
        <x:v>71</x:v>
      </x:c>
      <x:c r="G194" s="2" t="n">
        <x:v>10</x:v>
      </x:c>
      <x:c r="H194" s="2" t="n">
        <x:v>72</x:v>
      </x:c>
      <x:c r="I194" s="2" t="n">
        <x:v>0</x:v>
      </x:c>
      <x:c r="J194" s="2" t="n">
        <x:v>0</x:v>
      </x:c>
      <x:c r="K194" s="2" t="n">
        <x:v>0</x:v>
      </x:c>
    </x:row>
    <x:row r="195" ht="21" customHeight="1">
      <x:c r="A195" s="6" t="n">
        <x:v>45994</x:v>
      </x:c>
      <x:c r="B195" s="2" t="str">
        <x:v>I02</x:v>
      </x:c>
      <x:c r="C195" s="2" t="n">
        <x:v>3</x:v>
      </x:c>
      <x:c r="D195" s="2" t="str">
        <x:v>December normal</x:v>
      </x:c>
      <x:c r="E195" s="7" t="n">
        <x:v>8</x:v>
      </x:c>
      <x:c r="F195" s="2" t="n">
        <x:v>54</x:v>
      </x:c>
      <x:c r="G195" s="2" t="n">
        <x:v>8</x:v>
      </x:c>
      <x:c r="H195" s="2" t="n">
        <x:v>54</x:v>
      </x:c>
      <x:c r="I195" s="2" t="n">
        <x:v>0</x:v>
      </x:c>
      <x:c r="J195" s="2" t="n">
        <x:v>0</x:v>
      </x:c>
      <x:c r="K195" s="2" t="n">
        <x:v>0</x:v>
      </x:c>
    </x:row>
    <x:row r="196" ht="21" customHeight="1">
      <x:c r="A196" s="6" t="n">
        <x:v>45994</x:v>
      </x:c>
      <x:c r="B196" s="2" t="str">
        <x:v>I03</x:v>
      </x:c>
      <x:c r="C196" s="2" t="n">
        <x:v>3</x:v>
      </x:c>
      <x:c r="D196" s="2" t="str">
        <x:v>December normal</x:v>
      </x:c>
      <x:c r="E196" s="7" t="n">
        <x:v>7.5</x:v>
      </x:c>
      <x:c r="F196" s="2" t="n">
        <x:v>33</x:v>
      </x:c>
      <x:c r="G196" s="2" t="n">
        <x:v>5</x:v>
      </x:c>
      <x:c r="H196" s="2" t="n">
        <x:v>33</x:v>
      </x:c>
      <x:c r="I196" s="2" t="n">
        <x:v>0</x:v>
      </x:c>
      <x:c r="J196" s="2" t="n">
        <x:v>0</x:v>
      </x:c>
      <x:c r="K196" s="2" t="n">
        <x:v>0</x:v>
      </x:c>
    </x:row>
    <x:row r="197" ht="21" customHeight="1">
      <x:c r="A197" s="6" t="n">
        <x:v>45994</x:v>
      </x:c>
      <x:c r="B197" s="2" t="str">
        <x:v>I04</x:v>
      </x:c>
      <x:c r="C197" s="2" t="n">
        <x:v>3</x:v>
      </x:c>
      <x:c r="D197" s="2" t="str">
        <x:v>December normal</x:v>
      </x:c>
      <x:c r="E197" s="7" t="n">
        <x:v>9</x:v>
      </x:c>
      <x:c r="F197" s="2" t="n">
        <x:v>37</x:v>
      </x:c>
      <x:c r="G197" s="2" t="n">
        <x:v>6</x:v>
      </x:c>
      <x:c r="H197" s="2" t="n">
        <x:v>37</x:v>
      </x:c>
      <x:c r="I197" s="2" t="n">
        <x:v>0</x:v>
      </x:c>
      <x:c r="J197" s="2" t="n">
        <x:v>0</x:v>
      </x:c>
      <x:c r="K197" s="2" t="n">
        <x:v>0</x:v>
      </x:c>
    </x:row>
    <x:row r="198" ht="21" customHeight="1">
      <x:c r="A198" s="6" t="n">
        <x:v>45994</x:v>
      </x:c>
      <x:c r="B198" s="2" t="str">
        <x:v>I05</x:v>
      </x:c>
      <x:c r="C198" s="2" t="n">
        <x:v>3</x:v>
      </x:c>
      <x:c r="D198" s="2" t="str">
        <x:v>December normal</x:v>
      </x:c>
      <x:c r="E198" s="7" t="n">
        <x:v>3.5</x:v>
      </x:c>
      <x:c r="F198" s="2" t="n">
        <x:v>76</x:v>
      </x:c>
      <x:c r="G198" s="2" t="n">
        <x:v>12</x:v>
      </x:c>
      <x:c r="H198" s="2" t="n">
        <x:v>75</x:v>
      </x:c>
      <x:c r="I198" s="2" t="n">
        <x:v>0</x:v>
      </x:c>
      <x:c r="J198" s="2" t="n">
        <x:v>0</x:v>
      </x:c>
      <x:c r="K198" s="2" t="n">
        <x:v>0</x:v>
      </x:c>
    </x:row>
    <x:row r="199" ht="21" customHeight="1">
      <x:c r="A199" s="6" t="n">
        <x:v>45994</x:v>
      </x:c>
      <x:c r="B199" s="2" t="str">
        <x:v>I06</x:v>
      </x:c>
      <x:c r="C199" s="2" t="n">
        <x:v>3</x:v>
      </x:c>
      <x:c r="D199" s="2" t="str">
        <x:v>December normal</x:v>
      </x:c>
      <x:c r="E199" s="7" t="n">
        <x:v>3</x:v>
      </x:c>
      <x:c r="F199" s="2" t="n">
        <x:v>31</x:v>
      </x:c>
      <x:c r="G199" s="2" t="n">
        <x:v>5</x:v>
      </x:c>
      <x:c r="H199" s="2" t="n">
        <x:v>31</x:v>
      </x:c>
      <x:c r="I199" s="2" t="n">
        <x:v>0</x:v>
      </x:c>
      <x:c r="J199" s="2" t="n">
        <x:v>0</x:v>
      </x:c>
      <x:c r="K199" s="2" t="n">
        <x:v>0</x:v>
      </x:c>
    </x:row>
    <x:row r="200" ht="21" customHeight="1">
      <x:c r="A200" s="6" t="n">
        <x:v>45995</x:v>
      </x:c>
      <x:c r="B200" s="2" t="str">
        <x:v>I01</x:v>
      </x:c>
      <x:c r="C200" s="2" t="n">
        <x:v>4</x:v>
      </x:c>
      <x:c r="D200" s="2" t="str">
        <x:v>December normal</x:v>
      </x:c>
      <x:c r="E200" s="7" t="n">
        <x:v>8.5</x:v>
      </x:c>
      <x:c r="F200" s="2" t="n">
        <x:v>72</x:v>
      </x:c>
      <x:c r="G200" s="2" t="n">
        <x:v>11</x:v>
      </x:c>
      <x:c r="H200" s="2" t="n">
        <x:v>72</x:v>
      </x:c>
      <x:c r="I200" s="2" t="n">
        <x:v>0</x:v>
      </x:c>
      <x:c r="J200" s="2" t="n">
        <x:v>0</x:v>
      </x:c>
      <x:c r="K200" s="2" t="n">
        <x:v>0</x:v>
      </x:c>
    </x:row>
    <x:row r="201" ht="21" customHeight="1">
      <x:c r="A201" s="6" t="n">
        <x:v>45995</x:v>
      </x:c>
      <x:c r="B201" s="2" t="str">
        <x:v>I02</x:v>
      </x:c>
      <x:c r="C201" s="2" t="n">
        <x:v>4</x:v>
      </x:c>
      <x:c r="D201" s="2" t="str">
        <x:v>December normal</x:v>
      </x:c>
      <x:c r="E201" s="7" t="n">
        <x:v>8</x:v>
      </x:c>
      <x:c r="F201" s="2" t="n">
        <x:v>57</x:v>
      </x:c>
      <x:c r="G201" s="2" t="n">
        <x:v>8</x:v>
      </x:c>
      <x:c r="H201" s="2" t="n">
        <x:v>58</x:v>
      </x:c>
      <x:c r="I201" s="2" t="n">
        <x:v>0</x:v>
      </x:c>
      <x:c r="J201" s="2" t="n">
        <x:v>0</x:v>
      </x:c>
      <x:c r="K201" s="2" t="n">
        <x:v>0</x:v>
      </x:c>
    </x:row>
    <x:row r="202" ht="21" customHeight="1">
      <x:c r="A202" s="6" t="n">
        <x:v>45995</x:v>
      </x:c>
      <x:c r="B202" s="2" t="str">
        <x:v>I03</x:v>
      </x:c>
      <x:c r="C202" s="2" t="n">
        <x:v>4</x:v>
      </x:c>
      <x:c r="D202" s="2" t="str">
        <x:v>December normal</x:v>
      </x:c>
      <x:c r="E202" s="7" t="n">
        <x:v>7.5</x:v>
      </x:c>
      <x:c r="F202" s="2" t="n">
        <x:v>33</x:v>
      </x:c>
      <x:c r="G202" s="2" t="n">
        <x:v>5</x:v>
      </x:c>
      <x:c r="H202" s="2" t="n">
        <x:v>33</x:v>
      </x:c>
      <x:c r="I202" s="2" t="n">
        <x:v>0</x:v>
      </x:c>
      <x:c r="J202" s="2" t="n">
        <x:v>0</x:v>
      </x:c>
      <x:c r="K202" s="2" t="n">
        <x:v>0</x:v>
      </x:c>
    </x:row>
    <x:row r="203" ht="21" customHeight="1">
      <x:c r="A203" s="6" t="n">
        <x:v>45995</x:v>
      </x:c>
      <x:c r="B203" s="2" t="str">
        <x:v>I04</x:v>
      </x:c>
      <x:c r="C203" s="2" t="n">
        <x:v>4</x:v>
      </x:c>
      <x:c r="D203" s="2" t="str">
        <x:v>December normal</x:v>
      </x:c>
      <x:c r="E203" s="7" t="n">
        <x:v>9</x:v>
      </x:c>
      <x:c r="F203" s="2" t="n">
        <x:v>43</x:v>
      </x:c>
      <x:c r="G203" s="2" t="n">
        <x:v>6</x:v>
      </x:c>
      <x:c r="H203" s="2" t="n">
        <x:v>43</x:v>
      </x:c>
      <x:c r="I203" s="2" t="n">
        <x:v>0</x:v>
      </x:c>
      <x:c r="J203" s="2" t="n">
        <x:v>0</x:v>
      </x:c>
      <x:c r="K203" s="2" t="n">
        <x:v>0</x:v>
      </x:c>
    </x:row>
    <x:row r="204" ht="21" customHeight="1">
      <x:c r="A204" s="6" t="n">
        <x:v>45995</x:v>
      </x:c>
      <x:c r="B204" s="2" t="str">
        <x:v>I05</x:v>
      </x:c>
      <x:c r="C204" s="2" t="n">
        <x:v>4</x:v>
      </x:c>
      <x:c r="D204" s="2" t="str">
        <x:v>December normal</x:v>
      </x:c>
      <x:c r="E204" s="7" t="n">
        <x:v>3.5</x:v>
      </x:c>
      <x:c r="F204" s="2" t="n">
        <x:v>85</x:v>
      </x:c>
      <x:c r="G204" s="2" t="n">
        <x:v>11</x:v>
      </x:c>
      <x:c r="H204" s="2" t="n">
        <x:v>87</x:v>
      </x:c>
      <x:c r="I204" s="2" t="n">
        <x:v>0</x:v>
      </x:c>
      <x:c r="J204" s="2" t="n">
        <x:v>0</x:v>
      </x:c>
      <x:c r="K204" s="2" t="n">
        <x:v>0</x:v>
      </x:c>
    </x:row>
    <x:row r="205" ht="21" customHeight="1">
      <x:c r="A205" s="6" t="n">
        <x:v>45995</x:v>
      </x:c>
      <x:c r="B205" s="2" t="str">
        <x:v>I06</x:v>
      </x:c>
      <x:c r="C205" s="2" t="n">
        <x:v>4</x:v>
      </x:c>
      <x:c r="D205" s="2" t="str">
        <x:v>December normal</x:v>
      </x:c>
      <x:c r="E205" s="7" t="n">
        <x:v>3</x:v>
      </x:c>
      <x:c r="F205" s="2" t="n">
        <x:v>34</x:v>
      </x:c>
      <x:c r="G205" s="2" t="n">
        <x:v>5</x:v>
      </x:c>
      <x:c r="H205" s="2" t="n">
        <x:v>34</x:v>
      </x:c>
      <x:c r="I205" s="2" t="n">
        <x:v>0</x:v>
      </x:c>
      <x:c r="J205" s="2" t="n">
        <x:v>0</x:v>
      </x:c>
      <x:c r="K205" s="2" t="n">
        <x:v>0</x:v>
      </x:c>
    </x:row>
    <x:row r="206" ht="21" customHeight="1">
      <x:c r="A206" s="6" t="n">
        <x:v>45996</x:v>
      </x:c>
      <x:c r="B206" s="2" t="str">
        <x:v>I01</x:v>
      </x:c>
      <x:c r="C206" s="2" t="n">
        <x:v>5</x:v>
      </x:c>
      <x:c r="D206" s="2" t="str">
        <x:v>December normal</x:v>
      </x:c>
      <x:c r="E206" s="7" t="n">
        <x:v>8.5</x:v>
      </x:c>
      <x:c r="F206" s="2" t="n">
        <x:v>93</x:v>
      </x:c>
      <x:c r="G206" s="2" t="n">
        <x:v>11</x:v>
      </x:c>
      <x:c r="H206" s="2" t="n">
        <x:v>96</x:v>
      </x:c>
      <x:c r="I206" s="2" t="n">
        <x:v>0</x:v>
      </x:c>
      <x:c r="J206" s="2" t="n">
        <x:v>0</x:v>
      </x:c>
      <x:c r="K206" s="2" t="n">
        <x:v>0</x:v>
      </x:c>
    </x:row>
    <x:row r="207" ht="21" customHeight="1">
      <x:c r="A207" s="6" t="n">
        <x:v>45996</x:v>
      </x:c>
      <x:c r="B207" s="2" t="str">
        <x:v>I02</x:v>
      </x:c>
      <x:c r="C207" s="2" t="n">
        <x:v>5</x:v>
      </x:c>
      <x:c r="D207" s="2" t="str">
        <x:v>December normal</x:v>
      </x:c>
      <x:c r="E207" s="7" t="n">
        <x:v>8</x:v>
      </x:c>
      <x:c r="F207" s="2" t="n">
        <x:v>69</x:v>
      </x:c>
      <x:c r="G207" s="2" t="n">
        <x:v>9</x:v>
      </x:c>
      <x:c r="H207" s="2" t="n">
        <x:v>70</x:v>
      </x:c>
      <x:c r="I207" s="2" t="n">
        <x:v>0</x:v>
      </x:c>
      <x:c r="J207" s="2" t="n">
        <x:v>0</x:v>
      </x:c>
      <x:c r="K207" s="2" t="n">
        <x:v>0</x:v>
      </x:c>
    </x:row>
    <x:row r="208" ht="21" customHeight="1">
      <x:c r="A208" s="6" t="n">
        <x:v>45996</x:v>
      </x:c>
      <x:c r="B208" s="2" t="str">
        <x:v>I03</x:v>
      </x:c>
      <x:c r="C208" s="2" t="n">
        <x:v>5</x:v>
      </x:c>
      <x:c r="D208" s="2" t="str">
        <x:v>December normal</x:v>
      </x:c>
      <x:c r="E208" s="7" t="n">
        <x:v>7.5</x:v>
      </x:c>
      <x:c r="F208" s="2" t="n">
        <x:v>42</x:v>
      </x:c>
      <x:c r="G208" s="2" t="n">
        <x:v>5</x:v>
      </x:c>
      <x:c r="H208" s="2" t="n">
        <x:v>43</x:v>
      </x:c>
      <x:c r="I208" s="2" t="n">
        <x:v>0</x:v>
      </x:c>
      <x:c r="J208" s="2" t="n">
        <x:v>0</x:v>
      </x:c>
      <x:c r="K208" s="2" t="n">
        <x:v>0</x:v>
      </x:c>
    </x:row>
    <x:row r="209" ht="21" customHeight="1">
      <x:c r="A209" s="6" t="n">
        <x:v>45996</x:v>
      </x:c>
      <x:c r="B209" s="2" t="str">
        <x:v>I04</x:v>
      </x:c>
      <x:c r="C209" s="2" t="n">
        <x:v>5</x:v>
      </x:c>
      <x:c r="D209" s="2" t="str">
        <x:v>December normal</x:v>
      </x:c>
      <x:c r="E209" s="7" t="n">
        <x:v>9</x:v>
      </x:c>
      <x:c r="F209" s="2" t="n">
        <x:v>52</x:v>
      </x:c>
      <x:c r="G209" s="2" t="n">
        <x:v>6</x:v>
      </x:c>
      <x:c r="H209" s="2" t="n">
        <x:v>54</x:v>
      </x:c>
      <x:c r="I209" s="2" t="n">
        <x:v>0</x:v>
      </x:c>
      <x:c r="J209" s="2" t="n">
        <x:v>0</x:v>
      </x:c>
      <x:c r="K209" s="2" t="n">
        <x:v>0</x:v>
      </x:c>
    </x:row>
    <x:row r="210" ht="21" customHeight="1">
      <x:c r="A210" s="6" t="n">
        <x:v>45996</x:v>
      </x:c>
      <x:c r="B210" s="2" t="str">
        <x:v>I05</x:v>
      </x:c>
      <x:c r="C210" s="2" t="n">
        <x:v>5</x:v>
      </x:c>
      <x:c r="D210" s="2" t="str">
        <x:v>December normal</x:v>
      </x:c>
      <x:c r="E210" s="7" t="n">
        <x:v>3.5</x:v>
      </x:c>
      <x:c r="F210" s="2" t="n">
        <x:v>104</x:v>
      </x:c>
      <x:c r="G210" s="2" t="n">
        <x:v>13</x:v>
      </x:c>
      <x:c r="H210" s="2" t="n">
        <x:v>107</x:v>
      </x:c>
      <x:c r="I210" s="2" t="n">
        <x:v>0</x:v>
      </x:c>
      <x:c r="J210" s="2" t="n">
        <x:v>0</x:v>
      </x:c>
      <x:c r="K210" s="2" t="n">
        <x:v>0</x:v>
      </x:c>
    </x:row>
    <x:row r="211" ht="21" customHeight="1">
      <x:c r="A211" s="6" t="n">
        <x:v>45996</x:v>
      </x:c>
      <x:c r="B211" s="2" t="str">
        <x:v>I06</x:v>
      </x:c>
      <x:c r="C211" s="2" t="n">
        <x:v>5</x:v>
      </x:c>
      <x:c r="D211" s="2" t="str">
        <x:v>December normal</x:v>
      </x:c>
      <x:c r="E211" s="7" t="n">
        <x:v>3</x:v>
      </x:c>
      <x:c r="F211" s="2" t="n">
        <x:v>37</x:v>
      </x:c>
      <x:c r="G211" s="2" t="n">
        <x:v>5</x:v>
      </x:c>
      <x:c r="H211" s="2" t="n">
        <x:v>38</x:v>
      </x:c>
      <x:c r="I211" s="2" t="n">
        <x:v>0</x:v>
      </x:c>
      <x:c r="J211" s="2" t="n">
        <x:v>0</x:v>
      </x:c>
      <x:c r="K211" s="2" t="n">
        <x:v>0</x:v>
      </x:c>
    </x:row>
    <x:row r="212" ht="21" customHeight="1">
      <x:c r="A212" s="6" t="n">
        <x:v>45997</x:v>
      </x:c>
      <x:c r="B212" s="2" t="str">
        <x:v>I01</x:v>
      </x:c>
      <x:c r="C212" s="2" t="n">
        <x:v>6</x:v>
      </x:c>
      <x:c r="D212" s="2" t="str">
        <x:v>December normal</x:v>
      </x:c>
      <x:c r="E212" s="7" t="n">
        <x:v>8.5</x:v>
      </x:c>
      <x:c r="F212" s="2" t="n">
        <x:v>98</x:v>
      </x:c>
      <x:c r="G212" s="2" t="n">
        <x:v>14</x:v>
      </x:c>
      <x:c r="H212" s="2" t="n">
        <x:v>99</x:v>
      </x:c>
      <x:c r="I212" s="2" t="n">
        <x:v>0</x:v>
      </x:c>
      <x:c r="J212" s="2" t="n">
        <x:v>0</x:v>
      </x:c>
      <x:c r="K212" s="2" t="n">
        <x:v>0</x:v>
      </x:c>
    </x:row>
    <x:row r="213" ht="21" customHeight="1">
      <x:c r="A213" s="6" t="n">
        <x:v>45997</x:v>
      </x:c>
      <x:c r="B213" s="2" t="str">
        <x:v>I02</x:v>
      </x:c>
      <x:c r="C213" s="2" t="n">
        <x:v>6</x:v>
      </x:c>
      <x:c r="D213" s="2" t="str">
        <x:v>December normal</x:v>
      </x:c>
      <x:c r="E213" s="7" t="n">
        <x:v>8</x:v>
      </x:c>
      <x:c r="F213" s="2" t="n">
        <x:v>79</x:v>
      </x:c>
      <x:c r="G213" s="2" t="n">
        <x:v>10</x:v>
      </x:c>
      <x:c r="H213" s="2" t="n">
        <x:v>81</x:v>
      </x:c>
      <x:c r="I213" s="2" t="n">
        <x:v>0</x:v>
      </x:c>
      <x:c r="J213" s="2" t="n">
        <x:v>0</x:v>
      </x:c>
      <x:c r="K213" s="2" t="n">
        <x:v>0</x:v>
      </x:c>
    </x:row>
    <x:row r="214" ht="21" customHeight="1">
      <x:c r="A214" s="6" t="n">
        <x:v>45997</x:v>
      </x:c>
      <x:c r="B214" s="2" t="str">
        <x:v>I03</x:v>
      </x:c>
      <x:c r="C214" s="2" t="n">
        <x:v>6</x:v>
      </x:c>
      <x:c r="D214" s="2" t="str">
        <x:v>December normal</x:v>
      </x:c>
      <x:c r="E214" s="7" t="n">
        <x:v>7.5</x:v>
      </x:c>
      <x:c r="F214" s="2" t="n">
        <x:v>46</x:v>
      </x:c>
      <x:c r="G214" s="2" t="n">
        <x:v>6</x:v>
      </x:c>
      <x:c r="H214" s="2" t="n">
        <x:v>47</x:v>
      </x:c>
      <x:c r="I214" s="2" t="n">
        <x:v>0</x:v>
      </x:c>
      <x:c r="J214" s="2" t="n">
        <x:v>0</x:v>
      </x:c>
      <x:c r="K214" s="2" t="n">
        <x:v>0</x:v>
      </x:c>
    </x:row>
    <x:row r="215" ht="21" customHeight="1">
      <x:c r="A215" s="6" t="n">
        <x:v>45997</x:v>
      </x:c>
      <x:c r="B215" s="2" t="str">
        <x:v>I04</x:v>
      </x:c>
      <x:c r="C215" s="2" t="n">
        <x:v>6</x:v>
      </x:c>
      <x:c r="D215" s="2" t="str">
        <x:v>December normal</x:v>
      </x:c>
      <x:c r="E215" s="7" t="n">
        <x:v>9</x:v>
      </x:c>
      <x:c r="F215" s="2" t="n">
        <x:v>57</x:v>
      </x:c>
      <x:c r="G215" s="2" t="n">
        <x:v>8</x:v>
      </x:c>
      <x:c r="H215" s="2" t="n">
        <x:v>58</x:v>
      </x:c>
      <x:c r="I215" s="2" t="n">
        <x:v>0</x:v>
      </x:c>
      <x:c r="J215" s="2" t="n">
        <x:v>0</x:v>
      </x:c>
      <x:c r="K215" s="2" t="n">
        <x:v>0</x:v>
      </x:c>
    </x:row>
    <x:row r="216" ht="21" customHeight="1">
      <x:c r="A216" s="6" t="n">
        <x:v>45997</x:v>
      </x:c>
      <x:c r="B216" s="2" t="str">
        <x:v>I05</x:v>
      </x:c>
      <x:c r="C216" s="2" t="n">
        <x:v>6</x:v>
      </x:c>
      <x:c r="D216" s="2" t="str">
        <x:v>December normal</x:v>
      </x:c>
      <x:c r="E216" s="7" t="n">
        <x:v>3.5</x:v>
      </x:c>
      <x:c r="F216" s="2" t="n">
        <x:v>110</x:v>
      </x:c>
      <x:c r="G216" s="2" t="n">
        <x:v>16</x:v>
      </x:c>
      <x:c r="H216" s="2" t="n">
        <x:v>110</x:v>
      </x:c>
      <x:c r="I216" s="2" t="n">
        <x:v>0</x:v>
      </x:c>
      <x:c r="J216" s="2" t="n">
        <x:v>0</x:v>
      </x:c>
      <x:c r="K216" s="2" t="n">
        <x:v>0</x:v>
      </x:c>
    </x:row>
    <x:row r="217" ht="21" customHeight="1">
      <x:c r="A217" s="6" t="n">
        <x:v>45997</x:v>
      </x:c>
      <x:c r="B217" s="2" t="str">
        <x:v>I06</x:v>
      </x:c>
      <x:c r="C217" s="2" t="n">
        <x:v>6</x:v>
      </x:c>
      <x:c r="D217" s="2" t="str">
        <x:v>December normal</x:v>
      </x:c>
      <x:c r="E217" s="7" t="n">
        <x:v>3</x:v>
      </x:c>
      <x:c r="F217" s="2" t="n">
        <x:v>41</x:v>
      </x:c>
      <x:c r="G217" s="2" t="n">
        <x:v>6</x:v>
      </x:c>
      <x:c r="H217" s="2" t="n">
        <x:v>41</x:v>
      </x:c>
      <x:c r="I217" s="2" t="n">
        <x:v>0</x:v>
      </x:c>
      <x:c r="J217" s="2" t="n">
        <x:v>0</x:v>
      </x:c>
      <x:c r="K217" s="2" t="n">
        <x:v>0</x:v>
      </x:c>
    </x:row>
    <x:row r="218" ht="21" customHeight="1">
      <x:c r="A218" s="6" t="n">
        <x:v>45998</x:v>
      </x:c>
      <x:c r="B218" s="2" t="str">
        <x:v>I01</x:v>
      </x:c>
      <x:c r="C218" s="2" t="n">
        <x:v>7</x:v>
      </x:c>
      <x:c r="D218" s="2" t="str">
        <x:v>December normal</x:v>
      </x:c>
      <x:c r="E218" s="7" t="n">
        <x:v>8.5</x:v>
      </x:c>
      <x:c r="F218" s="2" t="n">
        <x:v>85</x:v>
      </x:c>
      <x:c r="G218" s="2" t="n">
        <x:v>15</x:v>
      </x:c>
      <x:c r="H218" s="2" t="n">
        <x:v>83</x:v>
      </x:c>
      <x:c r="I218" s="2" t="n">
        <x:v>0</x:v>
      </x:c>
      <x:c r="J218" s="2" t="n">
        <x:v>0</x:v>
      </x:c>
      <x:c r="K218" s="2" t="n">
        <x:v>0</x:v>
      </x:c>
    </x:row>
    <x:row r="219" ht="21" customHeight="1">
      <x:c r="A219" s="6" t="n">
        <x:v>45998</x:v>
      </x:c>
      <x:c r="B219" s="2" t="str">
        <x:v>I02</x:v>
      </x:c>
      <x:c r="C219" s="2" t="n">
        <x:v>7</x:v>
      </x:c>
      <x:c r="D219" s="2" t="str">
        <x:v>December normal</x:v>
      </x:c>
      <x:c r="E219" s="7" t="n">
        <x:v>8</x:v>
      </x:c>
      <x:c r="F219" s="2" t="n">
        <x:v>62</x:v>
      </x:c>
      <x:c r="G219" s="2" t="n">
        <x:v>12</x:v>
      </x:c>
      <x:c r="H219" s="2" t="n">
        <x:v>59</x:v>
      </x:c>
      <x:c r="I219" s="2" t="n">
        <x:v>0</x:v>
      </x:c>
      <x:c r="J219" s="2" t="n">
        <x:v>0</x:v>
      </x:c>
      <x:c r="K219" s="2" t="n">
        <x:v>0</x:v>
      </x:c>
    </x:row>
    <x:row r="220" ht="21" customHeight="1">
      <x:c r="A220" s="6" t="n">
        <x:v>45998</x:v>
      </x:c>
      <x:c r="B220" s="2" t="str">
        <x:v>I03</x:v>
      </x:c>
      <x:c r="C220" s="2" t="n">
        <x:v>7</x:v>
      </x:c>
      <x:c r="D220" s="2" t="str">
        <x:v>December normal</x:v>
      </x:c>
      <x:c r="E220" s="7" t="n">
        <x:v>7.5</x:v>
      </x:c>
      <x:c r="F220" s="2" t="n">
        <x:v>38</x:v>
      </x:c>
      <x:c r="G220" s="2" t="n">
        <x:v>7</x:v>
      </x:c>
      <x:c r="H220" s="2" t="n">
        <x:v>37</x:v>
      </x:c>
      <x:c r="I220" s="2" t="n">
        <x:v>0</x:v>
      </x:c>
      <x:c r="J220" s="2" t="n">
        <x:v>0</x:v>
      </x:c>
      <x:c r="K220" s="2" t="n">
        <x:v>0</x:v>
      </x:c>
    </x:row>
    <x:row r="221" ht="21" customHeight="1">
      <x:c r="A221" s="6" t="n">
        <x:v>45998</x:v>
      </x:c>
      <x:c r="B221" s="2" t="str">
        <x:v>I04</x:v>
      </x:c>
      <x:c r="C221" s="2" t="n">
        <x:v>7</x:v>
      </x:c>
      <x:c r="D221" s="2" t="str">
        <x:v>December normal</x:v>
      </x:c>
      <x:c r="E221" s="7" t="n">
        <x:v>9</x:v>
      </x:c>
      <x:c r="F221" s="2" t="n">
        <x:v>46</x:v>
      </x:c>
      <x:c r="G221" s="2" t="n">
        <x:v>9</x:v>
      </x:c>
      <x:c r="H221" s="2" t="n">
        <x:v>44</x:v>
      </x:c>
      <x:c r="I221" s="2" t="n">
        <x:v>0</x:v>
      </x:c>
      <x:c r="J221" s="2" t="n">
        <x:v>0</x:v>
      </x:c>
      <x:c r="K221" s="2" t="n">
        <x:v>0</x:v>
      </x:c>
    </x:row>
    <x:row r="222" ht="21" customHeight="1">
      <x:c r="A222" s="6" t="n">
        <x:v>45998</x:v>
      </x:c>
      <x:c r="B222" s="2" t="str">
        <x:v>I05</x:v>
      </x:c>
      <x:c r="C222" s="2" t="n">
        <x:v>7</x:v>
      </x:c>
      <x:c r="D222" s="2" t="str">
        <x:v>December normal</x:v>
      </x:c>
      <x:c r="E222" s="7" t="n">
        <x:v>3.5</x:v>
      </x:c>
      <x:c r="F222" s="2" t="n">
        <x:v>96</x:v>
      </x:c>
      <x:c r="G222" s="2" t="n">
        <x:v>16</x:v>
      </x:c>
      <x:c r="H222" s="2" t="n">
        <x:v>94</x:v>
      </x:c>
      <x:c r="I222" s="2" t="n">
        <x:v>0</x:v>
      </x:c>
      <x:c r="J222" s="2" t="n">
        <x:v>0</x:v>
      </x:c>
      <x:c r="K222" s="2" t="n">
        <x:v>0</x:v>
      </x:c>
    </x:row>
    <x:row r="223" ht="21" customHeight="1">
      <x:c r="A223" s="6" t="n">
        <x:v>45998</x:v>
      </x:c>
      <x:c r="B223" s="2" t="str">
        <x:v>I06</x:v>
      </x:c>
      <x:c r="C223" s="2" t="n">
        <x:v>7</x:v>
      </x:c>
      <x:c r="D223" s="2" t="str">
        <x:v>December normal</x:v>
      </x:c>
      <x:c r="E223" s="7" t="n">
        <x:v>3</x:v>
      </x:c>
      <x:c r="F223" s="2" t="n">
        <x:v>38</x:v>
      </x:c>
      <x:c r="G223" s="2" t="n">
        <x:v>6</x:v>
      </x:c>
      <x:c r="H223" s="2" t="n">
        <x:v>38</x:v>
      </x:c>
      <x:c r="I223" s="2" t="n">
        <x:v>0</x:v>
      </x:c>
      <x:c r="J223" s="2" t="n">
        <x:v>0</x:v>
      </x:c>
      <x:c r="K223" s="2" t="n">
        <x:v>0</x:v>
      </x:c>
    </x:row>
    <x:row r="224" ht="21" customHeight="1">
      <x:c r="A224" s="6" t="n">
        <x:v>45999</x:v>
      </x:c>
      <x:c r="B224" s="2" t="str">
        <x:v>I01</x:v>
      </x:c>
      <x:c r="C224" s="2" t="n">
        <x:v>1</x:v>
      </x:c>
      <x:c r="D224" s="2" t="str">
        <x:v>December normal</x:v>
      </x:c>
      <x:c r="E224" s="7" t="n">
        <x:v>8.5</x:v>
      </x:c>
      <x:c r="F224" s="2" t="n">
        <x:v>60</x:v>
      </x:c>
      <x:c r="G224" s="2" t="n">
        <x:v>13</x:v>
      </x:c>
      <x:c r="H224" s="2" t="n">
        <x:v>56</x:v>
      </x:c>
      <x:c r="I224" s="2" t="n">
        <x:v>0</x:v>
      </x:c>
      <x:c r="J224" s="2" t="n">
        <x:v>0</x:v>
      </x:c>
      <x:c r="K224" s="2" t="n">
        <x:v>0</x:v>
      </x:c>
    </x:row>
    <x:row r="225" ht="21" customHeight="1">
      <x:c r="A225" s="6" t="n">
        <x:v>45999</x:v>
      </x:c>
      <x:c r="B225" s="2" t="str">
        <x:v>I02</x:v>
      </x:c>
      <x:c r="C225" s="2" t="n">
        <x:v>1</x:v>
      </x:c>
      <x:c r="D225" s="2" t="str">
        <x:v>December normal</x:v>
      </x:c>
      <x:c r="E225" s="7" t="n">
        <x:v>8</x:v>
      </x:c>
      <x:c r="F225" s="2" t="n">
        <x:v>50</x:v>
      </x:c>
      <x:c r="G225" s="2" t="n">
        <x:v>9</x:v>
      </x:c>
      <x:c r="H225" s="2" t="n">
        <x:v>48</x:v>
      </x:c>
      <x:c r="I225" s="2" t="n">
        <x:v>0</x:v>
      </x:c>
      <x:c r="J225" s="2" t="n">
        <x:v>0</x:v>
      </x:c>
      <x:c r="K225" s="2" t="n">
        <x:v>0</x:v>
      </x:c>
    </x:row>
    <x:row r="226" ht="21" customHeight="1">
      <x:c r="A226" s="6" t="n">
        <x:v>45999</x:v>
      </x:c>
      <x:c r="B226" s="2" t="str">
        <x:v>I03</x:v>
      </x:c>
      <x:c r="C226" s="2" t="n">
        <x:v>1</x:v>
      </x:c>
      <x:c r="D226" s="2" t="str">
        <x:v>December normal</x:v>
      </x:c>
      <x:c r="E226" s="7" t="n">
        <x:v>7.5</x:v>
      </x:c>
      <x:c r="F226" s="2" t="n">
        <x:v>31</x:v>
      </x:c>
      <x:c r="G226" s="2" t="n">
        <x:v>6</x:v>
      </x:c>
      <x:c r="H226" s="2" t="n">
        <x:v>30</x:v>
      </x:c>
      <x:c r="I226" s="2" t="n">
        <x:v>0</x:v>
      </x:c>
      <x:c r="J226" s="2" t="n">
        <x:v>0</x:v>
      </x:c>
      <x:c r="K226" s="2" t="n">
        <x:v>0</x:v>
      </x:c>
    </x:row>
    <x:row r="227" ht="21" customHeight="1">
      <x:c r="A227" s="6" t="n">
        <x:v>45999</x:v>
      </x:c>
      <x:c r="B227" s="2" t="str">
        <x:v>I04</x:v>
      </x:c>
      <x:c r="C227" s="2" t="n">
        <x:v>1</x:v>
      </x:c>
      <x:c r="D227" s="2" t="str">
        <x:v>December normal</x:v>
      </x:c>
      <x:c r="E227" s="7" t="n">
        <x:v>9</x:v>
      </x:c>
      <x:c r="F227" s="2" t="n">
        <x:v>36</x:v>
      </x:c>
      <x:c r="G227" s="2" t="n">
        <x:v>7</x:v>
      </x:c>
      <x:c r="H227" s="2" t="n">
        <x:v>34</x:v>
      </x:c>
      <x:c r="I227" s="2" t="n">
        <x:v>0</x:v>
      </x:c>
      <x:c r="J227" s="2" t="n">
        <x:v>0</x:v>
      </x:c>
      <x:c r="K227" s="2" t="n">
        <x:v>0</x:v>
      </x:c>
    </x:row>
    <x:row r="228" ht="21" customHeight="1">
      <x:c r="A228" s="6" t="n">
        <x:v>45999</x:v>
      </x:c>
      <x:c r="B228" s="2" t="str">
        <x:v>I05</x:v>
      </x:c>
      <x:c r="C228" s="2" t="n">
        <x:v>1</x:v>
      </x:c>
      <x:c r="D228" s="2" t="str">
        <x:v>December normal</x:v>
      </x:c>
      <x:c r="E228" s="7" t="n">
        <x:v>3.5</x:v>
      </x:c>
      <x:c r="F228" s="2" t="n">
        <x:v>70</x:v>
      </x:c>
      <x:c r="G228" s="2" t="n">
        <x:v>14</x:v>
      </x:c>
      <x:c r="H228" s="2" t="n">
        <x:v>67</x:v>
      </x:c>
      <x:c r="I228" s="2" t="n">
        <x:v>0</x:v>
      </x:c>
      <x:c r="J228" s="2" t="n">
        <x:v>0</x:v>
      </x:c>
      <x:c r="K228" s="2" t="n">
        <x:v>0</x:v>
      </x:c>
    </x:row>
    <x:row r="229" ht="21" customHeight="1">
      <x:c r="A229" s="6" t="n">
        <x:v>45999</x:v>
      </x:c>
      <x:c r="B229" s="2" t="str">
        <x:v>I06</x:v>
      </x:c>
      <x:c r="C229" s="2" t="n">
        <x:v>1</x:v>
      </x:c>
      <x:c r="D229" s="2" t="str">
        <x:v>December normal</x:v>
      </x:c>
      <x:c r="E229" s="7" t="n">
        <x:v>3</x:v>
      </x:c>
      <x:c r="F229" s="2" t="n">
        <x:v>28</x:v>
      </x:c>
      <x:c r="G229" s="2" t="n">
        <x:v>6</x:v>
      </x:c>
      <x:c r="H229" s="2" t="n">
        <x:v>26</x:v>
      </x:c>
      <x:c r="I229" s="2" t="n">
        <x:v>0</x:v>
      </x:c>
      <x:c r="J229" s="2" t="n">
        <x:v>0</x:v>
      </x:c>
      <x:c r="K229" s="2" t="n">
        <x:v>0</x:v>
      </x:c>
    </x:row>
    <x:row r="230" ht="21" customHeight="1">
      <x:c r="A230" s="6" t="n">
        <x:v>46000</x:v>
      </x:c>
      <x:c r="B230" s="2" t="str">
        <x:v>I01</x:v>
      </x:c>
      <x:c r="C230" s="2" t="n">
        <x:v>2</x:v>
      </x:c>
      <x:c r="D230" s="2" t="str">
        <x:v>December normal</x:v>
      </x:c>
      <x:c r="E230" s="7" t="n">
        <x:v>8.5</x:v>
      </x:c>
      <x:c r="F230" s="2" t="n">
        <x:v>66</x:v>
      </x:c>
      <x:c r="G230" s="2" t="n">
        <x:v>9</x:v>
      </x:c>
      <x:c r="H230" s="2" t="n">
        <x:v>67</x:v>
      </x:c>
      <x:c r="I230" s="2" t="n">
        <x:v>0</x:v>
      </x:c>
      <x:c r="J230" s="2" t="n">
        <x:v>0</x:v>
      </x:c>
      <x:c r="K230" s="2" t="n">
        <x:v>0</x:v>
      </x:c>
    </x:row>
    <x:row r="231" ht="21" customHeight="1">
      <x:c r="A231" s="6" t="n">
        <x:v>46000</x:v>
      </x:c>
      <x:c r="B231" s="2" t="str">
        <x:v>I02</x:v>
      </x:c>
      <x:c r="C231" s="2" t="n">
        <x:v>2</x:v>
      </x:c>
      <x:c r="D231" s="2" t="str">
        <x:v>December normal</x:v>
      </x:c>
      <x:c r="E231" s="7" t="n">
        <x:v>8</x:v>
      </x:c>
      <x:c r="F231" s="2" t="n">
        <x:v>57</x:v>
      </x:c>
      <x:c r="G231" s="2" t="n">
        <x:v>7</x:v>
      </x:c>
      <x:c r="H231" s="2" t="n">
        <x:v>59</x:v>
      </x:c>
      <x:c r="I231" s="2" t="n">
        <x:v>0</x:v>
      </x:c>
      <x:c r="J231" s="2" t="n">
        <x:v>0</x:v>
      </x:c>
      <x:c r="K231" s="2" t="n">
        <x:v>0</x:v>
      </x:c>
    </x:row>
    <x:row r="232" ht="21" customHeight="1">
      <x:c r="A232" s="6" t="n">
        <x:v>46000</x:v>
      </x:c>
      <x:c r="B232" s="2" t="str">
        <x:v>I03</x:v>
      </x:c>
      <x:c r="C232" s="2" t="n">
        <x:v>2</x:v>
      </x:c>
      <x:c r="D232" s="2" t="str">
        <x:v>December normal</x:v>
      </x:c>
      <x:c r="E232" s="7" t="n">
        <x:v>7.5</x:v>
      </x:c>
      <x:c r="F232" s="2" t="n">
        <x:v>32</x:v>
      </x:c>
      <x:c r="G232" s="2" t="n">
        <x:v>5</x:v>
      </x:c>
      <x:c r="H232" s="2" t="n">
        <x:v>32</x:v>
      </x:c>
      <x:c r="I232" s="2" t="n">
        <x:v>0</x:v>
      </x:c>
      <x:c r="J232" s="2" t="n">
        <x:v>0</x:v>
      </x:c>
      <x:c r="K232" s="2" t="n">
        <x:v>0</x:v>
      </x:c>
    </x:row>
    <x:row r="233" ht="21" customHeight="1">
      <x:c r="A233" s="6" t="n">
        <x:v>46000</x:v>
      </x:c>
      <x:c r="B233" s="2" t="str">
        <x:v>I04</x:v>
      </x:c>
      <x:c r="C233" s="2" t="n">
        <x:v>2</x:v>
      </x:c>
      <x:c r="D233" s="2" t="str">
        <x:v>December normal</x:v>
      </x:c>
      <x:c r="E233" s="7" t="n">
        <x:v>9</x:v>
      </x:c>
      <x:c r="F233" s="2" t="n">
        <x:v>39</x:v>
      </x:c>
      <x:c r="G233" s="2" t="n">
        <x:v>5</x:v>
      </x:c>
      <x:c r="H233" s="2" t="n">
        <x:v>40</x:v>
      </x:c>
      <x:c r="I233" s="2" t="n">
        <x:v>0</x:v>
      </x:c>
      <x:c r="J233" s="2" t="n">
        <x:v>0</x:v>
      </x:c>
      <x:c r="K233" s="2" t="n">
        <x:v>0</x:v>
      </x:c>
    </x:row>
    <x:row r="234" ht="21" customHeight="1">
      <x:c r="A234" s="6" t="n">
        <x:v>46000</x:v>
      </x:c>
      <x:c r="B234" s="2" t="str">
        <x:v>I05</x:v>
      </x:c>
      <x:c r="C234" s="2" t="n">
        <x:v>2</x:v>
      </x:c>
      <x:c r="D234" s="2" t="str">
        <x:v>December normal</x:v>
      </x:c>
      <x:c r="E234" s="7" t="n">
        <x:v>3.5</x:v>
      </x:c>
      <x:c r="F234" s="2" t="n">
        <x:v>81</x:v>
      </x:c>
      <x:c r="G234" s="2" t="n">
        <x:v>11</x:v>
      </x:c>
      <x:c r="H234" s="2" t="n">
        <x:v>82</x:v>
      </x:c>
      <x:c r="I234" s="2" t="n">
        <x:v>0</x:v>
      </x:c>
      <x:c r="J234" s="2" t="n">
        <x:v>0</x:v>
      </x:c>
      <x:c r="K234" s="2" t="n">
        <x:v>0</x:v>
      </x:c>
    </x:row>
    <x:row r="235" ht="21" customHeight="1">
      <x:c r="A235" s="6" t="n">
        <x:v>46000</x:v>
      </x:c>
      <x:c r="B235" s="2" t="str">
        <x:v>I06</x:v>
      </x:c>
      <x:c r="C235" s="2" t="n">
        <x:v>2</x:v>
      </x:c>
      <x:c r="D235" s="2" t="str">
        <x:v>December normal</x:v>
      </x:c>
      <x:c r="E235" s="7" t="n">
        <x:v>3</x:v>
      </x:c>
      <x:c r="F235" s="2" t="n">
        <x:v>30</x:v>
      </x:c>
      <x:c r="G235" s="2" t="n">
        <x:v>4</x:v>
      </x:c>
      <x:c r="H235" s="2" t="n">
        <x:v>31</x:v>
      </x:c>
      <x:c r="I235" s="2" t="n">
        <x:v>0</x:v>
      </x:c>
      <x:c r="J235" s="2" t="n">
        <x:v>0</x:v>
      </x:c>
      <x:c r="K235" s="2" t="n">
        <x:v>0</x:v>
      </x:c>
    </x:row>
    <x:row r="236" ht="21" customHeight="1">
      <x:c r="A236" s="6" t="n">
        <x:v>46001</x:v>
      </x:c>
      <x:c r="B236" s="2" t="str">
        <x:v>I01</x:v>
      </x:c>
      <x:c r="C236" s="2" t="n">
        <x:v>3</x:v>
      </x:c>
      <x:c r="D236" s="2" t="str">
        <x:v>December normal</x:v>
      </x:c>
      <x:c r="E236" s="7" t="n">
        <x:v>8.5</x:v>
      </x:c>
      <x:c r="F236" s="2" t="n">
        <x:v>70</x:v>
      </x:c>
      <x:c r="G236" s="2" t="n">
        <x:v>10</x:v>
      </x:c>
      <x:c r="H236" s="2" t="n">
        <x:v>71</x:v>
      </x:c>
      <x:c r="I236" s="2" t="n">
        <x:v>0</x:v>
      </x:c>
      <x:c r="J236" s="2" t="n">
        <x:v>0</x:v>
      </x:c>
      <x:c r="K236" s="2" t="n">
        <x:v>0</x:v>
      </x:c>
    </x:row>
    <x:row r="237" ht="21" customHeight="1">
      <x:c r="A237" s="6" t="n">
        <x:v>46001</x:v>
      </x:c>
      <x:c r="B237" s="2" t="str">
        <x:v>I02</x:v>
      </x:c>
      <x:c r="C237" s="2" t="n">
        <x:v>3</x:v>
      </x:c>
      <x:c r="D237" s="2" t="str">
        <x:v>December normal</x:v>
      </x:c>
      <x:c r="E237" s="7" t="n">
        <x:v>8</x:v>
      </x:c>
      <x:c r="F237" s="2" t="n">
        <x:v>56</x:v>
      </x:c>
      <x:c r="G237" s="2" t="n">
        <x:v>9</x:v>
      </x:c>
      <x:c r="H237" s="2" t="n">
        <x:v>55</x:v>
      </x:c>
      <x:c r="I237" s="2" t="n">
        <x:v>0</x:v>
      </x:c>
      <x:c r="J237" s="2" t="n">
        <x:v>0</x:v>
      </x:c>
      <x:c r="K237" s="2" t="n">
        <x:v>0</x:v>
      </x:c>
    </x:row>
    <x:row r="238" ht="21" customHeight="1">
      <x:c r="A238" s="6" t="n">
        <x:v>46001</x:v>
      </x:c>
      <x:c r="B238" s="2" t="str">
        <x:v>I03</x:v>
      </x:c>
      <x:c r="C238" s="2" t="n">
        <x:v>3</x:v>
      </x:c>
      <x:c r="D238" s="2" t="str">
        <x:v>December normal</x:v>
      </x:c>
      <x:c r="E238" s="7" t="n">
        <x:v>7.5</x:v>
      </x:c>
      <x:c r="F238" s="2" t="n">
        <x:v>31</x:v>
      </x:c>
      <x:c r="G238" s="2" t="n">
        <x:v>5</x:v>
      </x:c>
      <x:c r="H238" s="2" t="n">
        <x:v>31</x:v>
      </x:c>
      <x:c r="I238" s="2" t="n">
        <x:v>0</x:v>
      </x:c>
      <x:c r="J238" s="2" t="n">
        <x:v>0</x:v>
      </x:c>
      <x:c r="K238" s="2" t="n">
        <x:v>0</x:v>
      </x:c>
    </x:row>
    <x:row r="239" ht="21" customHeight="1">
      <x:c r="A239" s="6" t="n">
        <x:v>46001</x:v>
      </x:c>
      <x:c r="B239" s="2" t="str">
        <x:v>I04</x:v>
      </x:c>
      <x:c r="C239" s="2" t="n">
        <x:v>3</x:v>
      </x:c>
      <x:c r="D239" s="2" t="str">
        <x:v>December normal</x:v>
      </x:c>
      <x:c r="E239" s="7" t="n">
        <x:v>9</x:v>
      </x:c>
      <x:c r="F239" s="2" t="n">
        <x:v>39</x:v>
      </x:c>
      <x:c r="G239" s="2" t="n">
        <x:v>6</x:v>
      </x:c>
      <x:c r="H239" s="2" t="n">
        <x:v>39</x:v>
      </x:c>
      <x:c r="I239" s="2" t="n">
        <x:v>0</x:v>
      </x:c>
      <x:c r="J239" s="2" t="n">
        <x:v>0</x:v>
      </x:c>
      <x:c r="K239" s="2" t="n">
        <x:v>0</x:v>
      </x:c>
    </x:row>
    <x:row r="240" ht="21" customHeight="1">
      <x:c r="A240" s="6" t="n">
        <x:v>46001</x:v>
      </x:c>
      <x:c r="B240" s="2" t="str">
        <x:v>I05</x:v>
      </x:c>
      <x:c r="C240" s="2" t="n">
        <x:v>3</x:v>
      </x:c>
      <x:c r="D240" s="2" t="str">
        <x:v>December normal</x:v>
      </x:c>
      <x:c r="E240" s="7" t="n">
        <x:v>3.5</x:v>
      </x:c>
      <x:c r="F240" s="2" t="n">
        <x:v>80</x:v>
      </x:c>
      <x:c r="G240" s="2" t="n">
        <x:v>12</x:v>
      </x:c>
      <x:c r="H240" s="2" t="n">
        <x:v>80</x:v>
      </x:c>
      <x:c r="I240" s="2" t="n">
        <x:v>0</x:v>
      </x:c>
      <x:c r="J240" s="2" t="n">
        <x:v>0</x:v>
      </x:c>
      <x:c r="K240" s="2" t="n">
        <x:v>0</x:v>
      </x:c>
    </x:row>
    <x:row r="241" ht="21" customHeight="1">
      <x:c r="A241" s="6" t="n">
        <x:v>46001</x:v>
      </x:c>
      <x:c r="B241" s="2" t="str">
        <x:v>I06</x:v>
      </x:c>
      <x:c r="C241" s="2" t="n">
        <x:v>3</x:v>
      </x:c>
      <x:c r="D241" s="2" t="str">
        <x:v>December normal</x:v>
      </x:c>
      <x:c r="E241" s="7" t="n">
        <x:v>3</x:v>
      </x:c>
      <x:c r="F241" s="2" t="n">
        <x:v>29</x:v>
      </x:c>
      <x:c r="G241" s="2" t="n">
        <x:v>5</x:v>
      </x:c>
      <x:c r="H241" s="2" t="n">
        <x:v>28</x:v>
      </x:c>
      <x:c r="I241" s="2" t="n">
        <x:v>0</x:v>
      </x:c>
      <x:c r="J241" s="2" t="n">
        <x:v>0</x:v>
      </x:c>
      <x:c r="K241" s="2" t="n">
        <x:v>0</x:v>
      </x:c>
    </x:row>
    <x:row r="242" ht="21" customHeight="1">
      <x:c r="A242" s="6" t="n">
        <x:v>46002</x:v>
      </x:c>
      <x:c r="B242" s="2" t="str">
        <x:v>I01</x:v>
      </x:c>
      <x:c r="C242" s="2" t="n">
        <x:v>4</x:v>
      </x:c>
      <x:c r="D242" s="2" t="str">
        <x:v>December normal</x:v>
      </x:c>
      <x:c r="E242" s="7" t="n">
        <x:v>8.5</x:v>
      </x:c>
      <x:c r="F242" s="2" t="n">
        <x:v>71</x:v>
      </x:c>
      <x:c r="G242" s="2" t="n">
        <x:v>11</x:v>
      </x:c>
      <x:c r="H242" s="2" t="n">
        <x:v>71</x:v>
      </x:c>
      <x:c r="I242" s="2" t="n">
        <x:v>0</x:v>
      </x:c>
      <x:c r="J242" s="2" t="n">
        <x:v>0</x:v>
      </x:c>
      <x:c r="K242" s="2" t="n">
        <x:v>0</x:v>
      </x:c>
    </x:row>
    <x:row r="243" ht="21" customHeight="1">
      <x:c r="A243" s="6" t="n">
        <x:v>46002</x:v>
      </x:c>
      <x:c r="B243" s="2" t="str">
        <x:v>I02</x:v>
      </x:c>
      <x:c r="C243" s="2" t="n">
        <x:v>4</x:v>
      </x:c>
      <x:c r="D243" s="2" t="str">
        <x:v>December normal</x:v>
      </x:c>
      <x:c r="E243" s="7" t="n">
        <x:v>8</x:v>
      </x:c>
      <x:c r="F243" s="2" t="n">
        <x:v>61</x:v>
      </x:c>
      <x:c r="G243" s="2" t="n">
        <x:v>8</x:v>
      </x:c>
      <x:c r="H243" s="2" t="n">
        <x:v>62</x:v>
      </x:c>
      <x:c r="I243" s="2" t="n">
        <x:v>0</x:v>
      </x:c>
      <x:c r="J243" s="2" t="n">
        <x:v>0</x:v>
      </x:c>
      <x:c r="K243" s="2" t="n">
        <x:v>0</x:v>
      </x:c>
    </x:row>
    <x:row r="244" ht="21" customHeight="1">
      <x:c r="A244" s="6" t="n">
        <x:v>46002</x:v>
      </x:c>
      <x:c r="B244" s="2" t="str">
        <x:v>I03</x:v>
      </x:c>
      <x:c r="C244" s="2" t="n">
        <x:v>4</x:v>
      </x:c>
      <x:c r="D244" s="2" t="str">
        <x:v>December normal</x:v>
      </x:c>
      <x:c r="E244" s="7" t="n">
        <x:v>7.5</x:v>
      </x:c>
      <x:c r="F244" s="2" t="n">
        <x:v>37</x:v>
      </x:c>
      <x:c r="G244" s="2" t="n">
        <x:v>5</x:v>
      </x:c>
      <x:c r="H244" s="2" t="n">
        <x:v>38</x:v>
      </x:c>
      <x:c r="I244" s="2" t="n">
        <x:v>0</x:v>
      </x:c>
      <x:c r="J244" s="2" t="n">
        <x:v>0</x:v>
      </x:c>
      <x:c r="K244" s="2" t="n">
        <x:v>0</x:v>
      </x:c>
    </x:row>
    <x:row r="245" ht="21" customHeight="1">
      <x:c r="A245" s="6" t="n">
        <x:v>46002</x:v>
      </x:c>
      <x:c r="B245" s="2" t="str">
        <x:v>I04</x:v>
      </x:c>
      <x:c r="C245" s="2" t="n">
        <x:v>4</x:v>
      </x:c>
      <x:c r="D245" s="2" t="str">
        <x:v>December normal</x:v>
      </x:c>
      <x:c r="E245" s="7" t="n">
        <x:v>9</x:v>
      </x:c>
      <x:c r="F245" s="2" t="n">
        <x:v>42</x:v>
      </x:c>
      <x:c r="G245" s="2" t="n">
        <x:v>6</x:v>
      </x:c>
      <x:c r="H245" s="2" t="n">
        <x:v>42</x:v>
      </x:c>
      <x:c r="I245" s="2" t="n">
        <x:v>0</x:v>
      </x:c>
      <x:c r="J245" s="2" t="n">
        <x:v>0</x:v>
      </x:c>
      <x:c r="K245" s="2" t="n">
        <x:v>0</x:v>
      </x:c>
    </x:row>
    <x:row r="246" ht="21" customHeight="1">
      <x:c r="A246" s="6" t="n">
        <x:v>46002</x:v>
      </x:c>
      <x:c r="B246" s="2" t="str">
        <x:v>I05</x:v>
      </x:c>
      <x:c r="C246" s="2" t="n">
        <x:v>4</x:v>
      </x:c>
      <x:c r="D246" s="2" t="str">
        <x:v>December normal</x:v>
      </x:c>
      <x:c r="E246" s="7" t="n">
        <x:v>3.5</x:v>
      </x:c>
      <x:c r="F246" s="2" t="n">
        <x:v>83</x:v>
      </x:c>
      <x:c r="G246" s="2" t="n">
        <x:v>12</x:v>
      </x:c>
      <x:c r="H246" s="2" t="n">
        <x:v>83</x:v>
      </x:c>
      <x:c r="I246" s="2" t="n">
        <x:v>0</x:v>
      </x:c>
      <x:c r="J246" s="2" t="n">
        <x:v>0</x:v>
      </x:c>
      <x:c r="K246" s="2" t="n">
        <x:v>0</x:v>
      </x:c>
    </x:row>
    <x:row r="247" ht="21" customHeight="1">
      <x:c r="A247" s="6" t="n">
        <x:v>46002</x:v>
      </x:c>
      <x:c r="B247" s="2" t="str">
        <x:v>I06</x:v>
      </x:c>
      <x:c r="C247" s="2" t="n">
        <x:v>4</x:v>
      </x:c>
      <x:c r="D247" s="2" t="str">
        <x:v>December normal</x:v>
      </x:c>
      <x:c r="E247" s="7" t="n">
        <x:v>3</x:v>
      </x:c>
      <x:c r="F247" s="2" t="n">
        <x:v>34</x:v>
      </x:c>
      <x:c r="G247" s="2" t="n">
        <x:v>4</x:v>
      </x:c>
      <x:c r="H247" s="2" t="n">
        <x:v>35</x:v>
      </x:c>
      <x:c r="I247" s="2" t="n">
        <x:v>0</x:v>
      </x:c>
      <x:c r="J247" s="2" t="n">
        <x:v>0</x:v>
      </x:c>
      <x:c r="K247" s="2" t="n">
        <x:v>0</x:v>
      </x:c>
    </x:row>
    <x:row r="248" ht="21" customHeight="1">
      <x:c r="A248" s="6" t="n">
        <x:v>46003</x:v>
      </x:c>
      <x:c r="B248" s="2" t="str">
        <x:v>I01</x:v>
      </x:c>
      <x:c r="C248" s="2" t="n">
        <x:v>5</x:v>
      </x:c>
      <x:c r="D248" s="2" t="str">
        <x:v>December normal</x:v>
      </x:c>
      <x:c r="E248" s="7" t="n">
        <x:v>8.5</x:v>
      </x:c>
      <x:c r="F248" s="2" t="n">
        <x:v>93</x:v>
      </x:c>
      <x:c r="G248" s="2" t="n">
        <x:v>11</x:v>
      </x:c>
      <x:c r="H248" s="2" t="n">
        <x:v>96</x:v>
      </x:c>
      <x:c r="I248" s="2" t="n">
        <x:v>0</x:v>
      </x:c>
      <x:c r="J248" s="2" t="n">
        <x:v>0</x:v>
      </x:c>
      <x:c r="K248" s="2" t="n">
        <x:v>0</x:v>
      </x:c>
    </x:row>
    <x:row r="249" ht="21" customHeight="1">
      <x:c r="A249" s="6" t="n">
        <x:v>46003</x:v>
      </x:c>
      <x:c r="B249" s="2" t="str">
        <x:v>I02</x:v>
      </x:c>
      <x:c r="C249" s="2" t="n">
        <x:v>5</x:v>
      </x:c>
      <x:c r="D249" s="2" t="str">
        <x:v>December normal</x:v>
      </x:c>
      <x:c r="E249" s="7" t="n">
        <x:v>8</x:v>
      </x:c>
      <x:c r="F249" s="2" t="n">
        <x:v>70</x:v>
      </x:c>
      <x:c r="G249" s="2" t="n">
        <x:v>9</x:v>
      </x:c>
      <x:c r="H249" s="2" t="n">
        <x:v>72</x:v>
      </x:c>
      <x:c r="I249" s="2" t="n">
        <x:v>0</x:v>
      </x:c>
      <x:c r="J249" s="2" t="n">
        <x:v>0</x:v>
      </x:c>
      <x:c r="K249" s="2" t="n">
        <x:v>0</x:v>
      </x:c>
    </x:row>
    <x:row r="250" ht="21" customHeight="1">
      <x:c r="A250" s="6" t="n">
        <x:v>46003</x:v>
      </x:c>
      <x:c r="B250" s="2" t="str">
        <x:v>I03</x:v>
      </x:c>
      <x:c r="C250" s="2" t="n">
        <x:v>5</x:v>
      </x:c>
      <x:c r="D250" s="2" t="str">
        <x:v>December normal</x:v>
      </x:c>
      <x:c r="E250" s="7" t="n">
        <x:v>7.5</x:v>
      </x:c>
      <x:c r="F250" s="2" t="n">
        <x:v>41</x:v>
      </x:c>
      <x:c r="G250" s="2" t="n">
        <x:v>6</x:v>
      </x:c>
      <x:c r="H250" s="2" t="n">
        <x:v>41</x:v>
      </x:c>
      <x:c r="I250" s="2" t="n">
        <x:v>0</x:v>
      </x:c>
      <x:c r="J250" s="2" t="n">
        <x:v>0</x:v>
      </x:c>
      <x:c r="K250" s="2" t="n">
        <x:v>0</x:v>
      </x:c>
    </x:row>
    <x:row r="251" ht="21" customHeight="1">
      <x:c r="A251" s="6" t="n">
        <x:v>46003</x:v>
      </x:c>
      <x:c r="B251" s="2" t="str">
        <x:v>I04</x:v>
      </x:c>
      <x:c r="C251" s="2" t="n">
        <x:v>5</x:v>
      </x:c>
      <x:c r="D251" s="2" t="str">
        <x:v>December normal</x:v>
      </x:c>
      <x:c r="E251" s="7" t="n">
        <x:v>9</x:v>
      </x:c>
      <x:c r="F251" s="2" t="n">
        <x:v>52</x:v>
      </x:c>
      <x:c r="G251" s="2" t="n">
        <x:v>6</x:v>
      </x:c>
      <x:c r="H251" s="2" t="n">
        <x:v>54</x:v>
      </x:c>
      <x:c r="I251" s="2" t="n">
        <x:v>0</x:v>
      </x:c>
      <x:c r="J251" s="2" t="n">
        <x:v>0</x:v>
      </x:c>
      <x:c r="K251" s="2" t="n">
        <x:v>0</x:v>
      </x:c>
    </x:row>
    <x:row r="252" ht="21" customHeight="1">
      <x:c r="A252" s="6" t="n">
        <x:v>46003</x:v>
      </x:c>
      <x:c r="B252" s="2" t="str">
        <x:v>I05</x:v>
      </x:c>
      <x:c r="C252" s="2" t="n">
        <x:v>5</x:v>
      </x:c>
      <x:c r="D252" s="2" t="str">
        <x:v>December normal</x:v>
      </x:c>
      <x:c r="E252" s="7" t="n">
        <x:v>3.5</x:v>
      </x:c>
      <x:c r="F252" s="2" t="n">
        <x:v>98</x:v>
      </x:c>
      <x:c r="G252" s="2" t="n">
        <x:v>12</x:v>
      </x:c>
      <x:c r="H252" s="2" t="n">
        <x:v>101</x:v>
      </x:c>
      <x:c r="I252" s="2" t="n">
        <x:v>0</x:v>
      </x:c>
      <x:c r="J252" s="2" t="n">
        <x:v>0</x:v>
      </x:c>
      <x:c r="K252" s="2" t="n">
        <x:v>0</x:v>
      </x:c>
    </x:row>
    <x:row r="253" ht="21" customHeight="1">
      <x:c r="A253" s="6" t="n">
        <x:v>46003</x:v>
      </x:c>
      <x:c r="B253" s="2" t="str">
        <x:v>I06</x:v>
      </x:c>
      <x:c r="C253" s="2" t="n">
        <x:v>5</x:v>
      </x:c>
      <x:c r="D253" s="2" t="str">
        <x:v>December normal</x:v>
      </x:c>
      <x:c r="E253" s="7" t="n">
        <x:v>3</x:v>
      </x:c>
      <x:c r="F253" s="2" t="n">
        <x:v>39</x:v>
      </x:c>
      <x:c r="G253" s="2" t="n">
        <x:v>5</x:v>
      </x:c>
      <x:c r="H253" s="2" t="n">
        <x:v>40</x:v>
      </x:c>
      <x:c r="I253" s="2" t="n">
        <x:v>0</x:v>
      </x:c>
      <x:c r="J253" s="2" t="n">
        <x:v>0</x:v>
      </x:c>
      <x:c r="K253" s="2" t="n">
        <x:v>0</x:v>
      </x:c>
    </x:row>
    <x:row r="254" ht="21" customHeight="1">
      <x:c r="A254" s="6" t="n">
        <x:v>46004</x:v>
      </x:c>
      <x:c r="B254" s="2" t="str">
        <x:v>I01</x:v>
      </x:c>
      <x:c r="C254" s="2" t="n">
        <x:v>6</x:v>
      </x:c>
      <x:c r="D254" s="2" t="str">
        <x:v>December normal</x:v>
      </x:c>
      <x:c r="E254" s="7" t="n">
        <x:v>8.5</x:v>
      </x:c>
      <x:c r="F254" s="2" t="n">
        <x:v>99</x:v>
      </x:c>
      <x:c r="G254" s="2" t="n">
        <x:v>14</x:v>
      </x:c>
      <x:c r="H254" s="2" t="n">
        <x:v>100</x:v>
      </x:c>
      <x:c r="I254" s="2" t="n">
        <x:v>0</x:v>
      </x:c>
      <x:c r="J254" s="2" t="n">
        <x:v>0</x:v>
      </x:c>
      <x:c r="K254" s="2" t="n">
        <x:v>0</x:v>
      </x:c>
    </x:row>
    <x:row r="255" ht="21" customHeight="1">
      <x:c r="A255" s="6" t="n">
        <x:v>46004</x:v>
      </x:c>
      <x:c r="B255" s="2" t="str">
        <x:v>I02</x:v>
      </x:c>
      <x:c r="C255" s="2" t="n">
        <x:v>6</x:v>
      </x:c>
      <x:c r="D255" s="2" t="str">
        <x:v>December normal</x:v>
      </x:c>
      <x:c r="E255" s="7" t="n">
        <x:v>8</x:v>
      </x:c>
      <x:c r="F255" s="2" t="n">
        <x:v>80</x:v>
      </x:c>
      <x:c r="G255" s="2" t="n">
        <x:v>11</x:v>
      </x:c>
      <x:c r="H255" s="2" t="n">
        <x:v>81</x:v>
      </x:c>
      <x:c r="I255" s="2" t="n">
        <x:v>0</x:v>
      </x:c>
      <x:c r="J255" s="2" t="n">
        <x:v>0</x:v>
      </x:c>
      <x:c r="K255" s="2" t="n">
        <x:v>0</x:v>
      </x:c>
    </x:row>
    <x:row r="256" ht="21" customHeight="1">
      <x:c r="A256" s="6" t="n">
        <x:v>46004</x:v>
      </x:c>
      <x:c r="B256" s="2" t="str">
        <x:v>I03</x:v>
      </x:c>
      <x:c r="C256" s="2" t="n">
        <x:v>6</x:v>
      </x:c>
      <x:c r="D256" s="2" t="str">
        <x:v>December normal</x:v>
      </x:c>
      <x:c r="E256" s="7" t="n">
        <x:v>7.5</x:v>
      </x:c>
      <x:c r="F256" s="2" t="n">
        <x:v>49</x:v>
      </x:c>
      <x:c r="G256" s="2" t="n">
        <x:v>6</x:v>
      </x:c>
      <x:c r="H256" s="2" t="n">
        <x:v>50</x:v>
      </x:c>
      <x:c r="I256" s="2" t="n">
        <x:v>0</x:v>
      </x:c>
      <x:c r="J256" s="2" t="n">
        <x:v>0</x:v>
      </x:c>
      <x:c r="K256" s="2" t="n">
        <x:v>0</x:v>
      </x:c>
    </x:row>
    <x:row r="257" ht="21" customHeight="1">
      <x:c r="A257" s="6" t="n">
        <x:v>46004</x:v>
      </x:c>
      <x:c r="B257" s="2" t="str">
        <x:v>I04</x:v>
      </x:c>
      <x:c r="C257" s="2" t="n">
        <x:v>6</x:v>
      </x:c>
      <x:c r="D257" s="2" t="str">
        <x:v>December normal</x:v>
      </x:c>
      <x:c r="E257" s="7" t="n">
        <x:v>9</x:v>
      </x:c>
      <x:c r="F257" s="2" t="n">
        <x:v>57</x:v>
      </x:c>
      <x:c r="G257" s="2" t="n">
        <x:v>8</x:v>
      </x:c>
      <x:c r="H257" s="2" t="n">
        <x:v>58</x:v>
      </x:c>
      <x:c r="I257" s="2" t="n">
        <x:v>0</x:v>
      </x:c>
      <x:c r="J257" s="2" t="n">
        <x:v>0</x:v>
      </x:c>
      <x:c r="K257" s="2" t="n">
        <x:v>0</x:v>
      </x:c>
    </x:row>
    <x:row r="258" ht="21" customHeight="1">
      <x:c r="A258" s="6" t="n">
        <x:v>46004</x:v>
      </x:c>
      <x:c r="B258" s="2" t="str">
        <x:v>I05</x:v>
      </x:c>
      <x:c r="C258" s="2" t="n">
        <x:v>6</x:v>
      </x:c>
      <x:c r="D258" s="2" t="str">
        <x:v>December normal</x:v>
      </x:c>
      <x:c r="E258" s="7" t="n">
        <x:v>3.5</x:v>
      </x:c>
      <x:c r="F258" s="2" t="n">
        <x:v>114</x:v>
      </x:c>
      <x:c r="G258" s="2" t="n">
        <x:v>15</x:v>
      </x:c>
      <x:c r="H258" s="2" t="n">
        <x:v>116</x:v>
      </x:c>
      <x:c r="I258" s="2" t="n">
        <x:v>0</x:v>
      </x:c>
      <x:c r="J258" s="2" t="n">
        <x:v>0</x:v>
      </x:c>
      <x:c r="K258" s="2" t="n">
        <x:v>0</x:v>
      </x:c>
    </x:row>
    <x:row r="259" ht="21" customHeight="1">
      <x:c r="A259" s="6" t="n">
        <x:v>46004</x:v>
      </x:c>
      <x:c r="B259" s="2" t="str">
        <x:v>I06</x:v>
      </x:c>
      <x:c r="C259" s="2" t="n">
        <x:v>6</x:v>
      </x:c>
      <x:c r="D259" s="2" t="str">
        <x:v>December normal</x:v>
      </x:c>
      <x:c r="E259" s="7" t="n">
        <x:v>3</x:v>
      </x:c>
      <x:c r="F259" s="2" t="n">
        <x:v>42</x:v>
      </x:c>
      <x:c r="G259" s="2" t="n">
        <x:v>6</x:v>
      </x:c>
      <x:c r="H259" s="2" t="n">
        <x:v>42</x:v>
      </x:c>
      <x:c r="I259" s="2" t="n">
        <x:v>0</x:v>
      </x:c>
      <x:c r="J259" s="2" t="n">
        <x:v>0</x:v>
      </x:c>
      <x:c r="K259" s="2" t="n">
        <x:v>0</x:v>
      </x:c>
    </x:row>
    <x:row r="260" ht="21" customHeight="1">
      <x:c r="A260" s="6" t="n">
        <x:v>46005</x:v>
      </x:c>
      <x:c r="B260" s="2" t="str">
        <x:v>I01</x:v>
      </x:c>
      <x:c r="C260" s="2" t="n">
        <x:v>7</x:v>
      </x:c>
      <x:c r="D260" s="2" t="str">
        <x:v>December normal</x:v>
      </x:c>
      <x:c r="E260" s="7" t="n">
        <x:v>8.5</x:v>
      </x:c>
      <x:c r="F260" s="2" t="n">
        <x:v>82</x:v>
      </x:c>
      <x:c r="G260" s="2" t="n">
        <x:v>15</x:v>
      </x:c>
      <x:c r="H260" s="2" t="n">
        <x:v>79</x:v>
      </x:c>
      <x:c r="I260" s="2" t="n">
        <x:v>0</x:v>
      </x:c>
      <x:c r="J260" s="2" t="n">
        <x:v>0</x:v>
      </x:c>
      <x:c r="K260" s="2" t="n">
        <x:v>0</x:v>
      </x:c>
    </x:row>
    <x:row r="261" ht="21" customHeight="1">
      <x:c r="A261" s="6" t="n">
        <x:v>46005</x:v>
      </x:c>
      <x:c r="B261" s="2" t="str">
        <x:v>I02</x:v>
      </x:c>
      <x:c r="C261" s="2" t="n">
        <x:v>7</x:v>
      </x:c>
      <x:c r="D261" s="2" t="str">
        <x:v>December normal</x:v>
      </x:c>
      <x:c r="E261" s="7" t="n">
        <x:v>8</x:v>
      </x:c>
      <x:c r="F261" s="2" t="n">
        <x:v>66</x:v>
      </x:c>
      <x:c r="G261" s="2" t="n">
        <x:v>12</x:v>
      </x:c>
      <x:c r="H261" s="2" t="n">
        <x:v>64</x:v>
      </x:c>
      <x:c r="I261" s="2" t="n">
        <x:v>0</x:v>
      </x:c>
      <x:c r="J261" s="2" t="n">
        <x:v>0</x:v>
      </x:c>
      <x:c r="K261" s="2" t="n">
        <x:v>0</x:v>
      </x:c>
    </x:row>
    <x:row r="262" ht="21" customHeight="1">
      <x:c r="A262" s="6" t="n">
        <x:v>46005</x:v>
      </x:c>
      <x:c r="B262" s="2" t="str">
        <x:v>I03</x:v>
      </x:c>
      <x:c r="C262" s="2" t="n">
        <x:v>7</x:v>
      </x:c>
      <x:c r="D262" s="2" t="str">
        <x:v>December normal</x:v>
      </x:c>
      <x:c r="E262" s="7" t="n">
        <x:v>7.5</x:v>
      </x:c>
      <x:c r="F262" s="2" t="n">
        <x:v>40</x:v>
      </x:c>
      <x:c r="G262" s="2" t="n">
        <x:v>7</x:v>
      </x:c>
      <x:c r="H262" s="2" t="n">
        <x:v>39</x:v>
      </x:c>
      <x:c r="I262" s="2" t="n">
        <x:v>0</x:v>
      </x:c>
      <x:c r="J262" s="2" t="n">
        <x:v>0</x:v>
      </x:c>
      <x:c r="K262" s="2" t="n">
        <x:v>0</x:v>
      </x:c>
    </x:row>
    <x:row r="263" ht="21" customHeight="1">
      <x:c r="A263" s="6" t="n">
        <x:v>46005</x:v>
      </x:c>
      <x:c r="B263" s="2" t="str">
        <x:v>I04</x:v>
      </x:c>
      <x:c r="C263" s="2" t="n">
        <x:v>7</x:v>
      </x:c>
      <x:c r="D263" s="2" t="str">
        <x:v>December normal</x:v>
      </x:c>
      <x:c r="E263" s="7" t="n">
        <x:v>9</x:v>
      </x:c>
      <x:c r="F263" s="2" t="n">
        <x:v>44</x:v>
      </x:c>
      <x:c r="G263" s="2" t="n">
        <x:v>9</x:v>
      </x:c>
      <x:c r="H263" s="2" t="n">
        <x:v>42</x:v>
      </x:c>
      <x:c r="I263" s="2" t="n">
        <x:v>0</x:v>
      </x:c>
      <x:c r="J263" s="2" t="n">
        <x:v>0</x:v>
      </x:c>
      <x:c r="K263" s="2" t="n">
        <x:v>0</x:v>
      </x:c>
    </x:row>
    <x:row r="264" ht="21" customHeight="1">
      <x:c r="A264" s="6" t="n">
        <x:v>46005</x:v>
      </x:c>
      <x:c r="B264" s="2" t="str">
        <x:v>I05</x:v>
      </x:c>
      <x:c r="C264" s="2" t="n">
        <x:v>7</x:v>
      </x:c>
      <x:c r="D264" s="2" t="str">
        <x:v>December normal</x:v>
      </x:c>
      <x:c r="E264" s="7" t="n">
        <x:v>3.5</x:v>
      </x:c>
      <x:c r="F264" s="2" t="n">
        <x:v>98</x:v>
      </x:c>
      <x:c r="G264" s="2" t="n">
        <x:v>17</x:v>
      </x:c>
      <x:c r="H264" s="2" t="n">
        <x:v>96</x:v>
      </x:c>
      <x:c r="I264" s="2" t="n">
        <x:v>0</x:v>
      </x:c>
      <x:c r="J264" s="2" t="n">
        <x:v>0</x:v>
      </x:c>
      <x:c r="K264" s="2" t="n">
        <x:v>0</x:v>
      </x:c>
    </x:row>
    <x:row r="265" ht="21" customHeight="1">
      <x:c r="A265" s="6" t="n">
        <x:v>46005</x:v>
      </x:c>
      <x:c r="B265" s="2" t="str">
        <x:v>I06</x:v>
      </x:c>
      <x:c r="C265" s="2" t="n">
        <x:v>7</x:v>
      </x:c>
      <x:c r="D265" s="2" t="str">
        <x:v>December normal</x:v>
      </x:c>
      <x:c r="E265" s="7" t="n">
        <x:v>3</x:v>
      </x:c>
      <x:c r="F265" s="2" t="n">
        <x:v>37</x:v>
      </x:c>
      <x:c r="G265" s="2" t="n">
        <x:v>6</x:v>
      </x:c>
      <x:c r="H265" s="2" t="n">
        <x:v>37</x:v>
      </x:c>
      <x:c r="I265" s="2" t="n">
        <x:v>0</x:v>
      </x:c>
      <x:c r="J265" s="2" t="n">
        <x:v>0</x:v>
      </x:c>
      <x:c r="K265" s="2" t="n">
        <x:v>0</x:v>
      </x:c>
    </x:row>
    <x:row r="266" ht="21" customHeight="1">
      <x:c r="A266" s="6" t="n">
        <x:v>46006</x:v>
      </x:c>
      <x:c r="B266" s="2" t="str">
        <x:v>I01</x:v>
      </x:c>
      <x:c r="C266" s="2" t="n">
        <x:v>1</x:v>
      </x:c>
      <x:c r="D266" s="2" t="str">
        <x:v>December normal</x:v>
      </x:c>
      <x:c r="E266" s="7" t="n">
        <x:v>8.5</x:v>
      </x:c>
      <x:c r="F266" s="2" t="n">
        <x:v>67</x:v>
      </x:c>
      <x:c r="G266" s="2" t="n">
        <x:v>12</x:v>
      </x:c>
      <x:c r="H266" s="2" t="n">
        <x:v>65</x:v>
      </x:c>
      <x:c r="I266" s="2" t="n">
        <x:v>0</x:v>
      </x:c>
      <x:c r="J266" s="2" t="n">
        <x:v>0</x:v>
      </x:c>
      <x:c r="K266" s="2" t="n">
        <x:v>0</x:v>
      </x:c>
    </x:row>
    <x:row r="267" ht="21" customHeight="1">
      <x:c r="A267" s="6" t="n">
        <x:v>46006</x:v>
      </x:c>
      <x:c r="B267" s="2" t="str">
        <x:v>I02</x:v>
      </x:c>
      <x:c r="C267" s="2" t="n">
        <x:v>1</x:v>
      </x:c>
      <x:c r="D267" s="2" t="str">
        <x:v>December normal</x:v>
      </x:c>
      <x:c r="E267" s="7" t="n">
        <x:v>8</x:v>
      </x:c>
      <x:c r="F267" s="2" t="n">
        <x:v>50</x:v>
      </x:c>
      <x:c r="G267" s="2" t="n">
        <x:v>10</x:v>
      </x:c>
      <x:c r="H267" s="2" t="n">
        <x:v>47</x:v>
      </x:c>
      <x:c r="I267" s="2" t="n">
        <x:v>0</x:v>
      </x:c>
      <x:c r="J267" s="2" t="n">
        <x:v>0</x:v>
      </x:c>
      <x:c r="K267" s="2" t="n">
        <x:v>0</x:v>
      </x:c>
    </x:row>
    <x:row r="268" ht="21" customHeight="1">
      <x:c r="A268" s="6" t="n">
        <x:v>46006</x:v>
      </x:c>
      <x:c r="B268" s="2" t="str">
        <x:v>I03</x:v>
      </x:c>
      <x:c r="C268" s="2" t="n">
        <x:v>1</x:v>
      </x:c>
      <x:c r="D268" s="2" t="str">
        <x:v>December normal</x:v>
      </x:c>
      <x:c r="E268" s="7" t="n">
        <x:v>7.5</x:v>
      </x:c>
      <x:c r="F268" s="2" t="n">
        <x:v>31</x:v>
      </x:c>
      <x:c r="G268" s="2" t="n">
        <x:v>6</x:v>
      </x:c>
      <x:c r="H268" s="2" t="n">
        <x:v>30</x:v>
      </x:c>
      <x:c r="I268" s="2" t="n">
        <x:v>0</x:v>
      </x:c>
      <x:c r="J268" s="2" t="n">
        <x:v>0</x:v>
      </x:c>
      <x:c r="K268" s="2" t="n">
        <x:v>0</x:v>
      </x:c>
    </x:row>
    <x:row r="269" ht="21" customHeight="1">
      <x:c r="A269" s="6" t="n">
        <x:v>46006</x:v>
      </x:c>
      <x:c r="B269" s="2" t="str">
        <x:v>I04</x:v>
      </x:c>
      <x:c r="C269" s="2" t="n">
        <x:v>1</x:v>
      </x:c>
      <x:c r="D269" s="2" t="str">
        <x:v>December normal</x:v>
      </x:c>
      <x:c r="E269" s="7" t="n">
        <x:v>9</x:v>
      </x:c>
      <x:c r="F269" s="2" t="n">
        <x:v>37</x:v>
      </x:c>
      <x:c r="G269" s="2" t="n">
        <x:v>7</x:v>
      </x:c>
      <x:c r="H269" s="2" t="n">
        <x:v>36</x:v>
      </x:c>
      <x:c r="I269" s="2" t="n">
        <x:v>0</x:v>
      </x:c>
      <x:c r="J269" s="2" t="n">
        <x:v>0</x:v>
      </x:c>
      <x:c r="K269" s="2" t="n">
        <x:v>0</x:v>
      </x:c>
    </x:row>
    <x:row r="270" ht="21" customHeight="1">
      <x:c r="A270" s="6" t="n">
        <x:v>46006</x:v>
      </x:c>
      <x:c r="B270" s="2" t="str">
        <x:v>I05</x:v>
      </x:c>
      <x:c r="C270" s="2" t="n">
        <x:v>1</x:v>
      </x:c>
      <x:c r="D270" s="2" t="str">
        <x:v>December normal</x:v>
      </x:c>
      <x:c r="E270" s="7" t="n">
        <x:v>3.5</x:v>
      </x:c>
      <x:c r="F270" s="2" t="n">
        <x:v>75</x:v>
      </x:c>
      <x:c r="G270" s="2" t="n">
        <x:v>15</x:v>
      </x:c>
      <x:c r="H270" s="2" t="n">
        <x:v>71</x:v>
      </x:c>
      <x:c r="I270" s="2" t="n">
        <x:v>0</x:v>
      </x:c>
      <x:c r="J270" s="2" t="n">
        <x:v>0</x:v>
      </x:c>
      <x:c r="K270" s="2" t="n">
        <x:v>0</x:v>
      </x:c>
    </x:row>
    <x:row r="271" ht="21" customHeight="1">
      <x:c r="A271" s="6" t="n">
        <x:v>46006</x:v>
      </x:c>
      <x:c r="B271" s="2" t="str">
        <x:v>I06</x:v>
      </x:c>
      <x:c r="C271" s="2" t="n">
        <x:v>1</x:v>
      </x:c>
      <x:c r="D271" s="2" t="str">
        <x:v>December normal</x:v>
      </x:c>
      <x:c r="E271" s="7" t="n">
        <x:v>3</x:v>
      </x:c>
      <x:c r="F271" s="2" t="n">
        <x:v>28</x:v>
      </x:c>
      <x:c r="G271" s="2" t="n">
        <x:v>6</x:v>
      </x:c>
      <x:c r="H271" s="2" t="n">
        <x:v>26</x:v>
      </x:c>
      <x:c r="I271" s="2" t="n">
        <x:v>0</x:v>
      </x:c>
      <x:c r="J271" s="2" t="n">
        <x:v>0</x:v>
      </x:c>
      <x:c r="K271" s="2" t="n">
        <x:v>0</x:v>
      </x:c>
    </x:row>
    <x:row r="272" ht="21" customHeight="1">
      <x:c r="A272" s="6" t="n">
        <x:v>46007</x:v>
      </x:c>
      <x:c r="B272" s="2" t="str">
        <x:v>I01</x:v>
      </x:c>
      <x:c r="C272" s="2" t="n">
        <x:v>2</x:v>
      </x:c>
      <x:c r="D272" s="2" t="str">
        <x:v>December normal</x:v>
      </x:c>
      <x:c r="E272" s="7" t="n">
        <x:v>8.5</x:v>
      </x:c>
      <x:c r="F272" s="2" t="n">
        <x:v>70</x:v>
      </x:c>
      <x:c r="G272" s="2" t="n">
        <x:v>10</x:v>
      </x:c>
      <x:c r="H272" s="2" t="n">
        <x:v>71</x:v>
      </x:c>
      <x:c r="I272" s="2" t="n">
        <x:v>0</x:v>
      </x:c>
      <x:c r="J272" s="2" t="n">
        <x:v>0</x:v>
      </x:c>
      <x:c r="K272" s="2" t="n">
        <x:v>0</x:v>
      </x:c>
    </x:row>
    <x:row r="273" ht="21" customHeight="1">
      <x:c r="A273" s="6" t="n">
        <x:v>46007</x:v>
      </x:c>
      <x:c r="B273" s="2" t="str">
        <x:v>I02</x:v>
      </x:c>
      <x:c r="C273" s="2" t="n">
        <x:v>2</x:v>
      </x:c>
      <x:c r="D273" s="2" t="str">
        <x:v>December normal</x:v>
      </x:c>
      <x:c r="E273" s="7" t="n">
        <x:v>8</x:v>
      </x:c>
      <x:c r="F273" s="2" t="n">
        <x:v>52</x:v>
      </x:c>
      <x:c r="G273" s="2" t="n">
        <x:v>7</x:v>
      </x:c>
      <x:c r="H273" s="2" t="n">
        <x:v>53</x:v>
      </x:c>
      <x:c r="I273" s="2" t="n">
        <x:v>0</x:v>
      </x:c>
      <x:c r="J273" s="2" t="n">
        <x:v>0</x:v>
      </x:c>
      <x:c r="K273" s="2" t="n">
        <x:v>0</x:v>
      </x:c>
    </x:row>
    <x:row r="274" ht="21" customHeight="1">
      <x:c r="A274" s="6" t="n">
        <x:v>46007</x:v>
      </x:c>
      <x:c r="B274" s="2" t="str">
        <x:v>I03</x:v>
      </x:c>
      <x:c r="C274" s="2" t="n">
        <x:v>2</x:v>
      </x:c>
      <x:c r="D274" s="2" t="str">
        <x:v>December normal</x:v>
      </x:c>
      <x:c r="E274" s="7" t="n">
        <x:v>7.5</x:v>
      </x:c>
      <x:c r="F274" s="2" t="n">
        <x:v>32</x:v>
      </x:c>
      <x:c r="G274" s="2" t="n">
        <x:v>5</x:v>
      </x:c>
      <x:c r="H274" s="2" t="n">
        <x:v>32</x:v>
      </x:c>
      <x:c r="I274" s="2" t="n">
        <x:v>0</x:v>
      </x:c>
      <x:c r="J274" s="2" t="n">
        <x:v>0</x:v>
      </x:c>
      <x:c r="K274" s="2" t="n">
        <x:v>0</x:v>
      </x:c>
    </x:row>
    <x:row r="275" ht="21" customHeight="1">
      <x:c r="A275" s="6" t="n">
        <x:v>46007</x:v>
      </x:c>
      <x:c r="B275" s="2" t="str">
        <x:v>I04</x:v>
      </x:c>
      <x:c r="C275" s="2" t="n">
        <x:v>2</x:v>
      </x:c>
      <x:c r="D275" s="2" t="str">
        <x:v>December normal</x:v>
      </x:c>
      <x:c r="E275" s="7" t="n">
        <x:v>9</x:v>
      </x:c>
      <x:c r="F275" s="2" t="n">
        <x:v>37</x:v>
      </x:c>
      <x:c r="G275" s="2" t="n">
        <x:v>6</x:v>
      </x:c>
      <x:c r="H275" s="2" t="n">
        <x:v>37</x:v>
      </x:c>
      <x:c r="I275" s="2" t="n">
        <x:v>0</x:v>
      </x:c>
      <x:c r="J275" s="2" t="n">
        <x:v>0</x:v>
      </x:c>
      <x:c r="K275" s="2" t="n">
        <x:v>0</x:v>
      </x:c>
    </x:row>
    <x:row r="276" ht="21" customHeight="1">
      <x:c r="A276" s="6" t="n">
        <x:v>46007</x:v>
      </x:c>
      <x:c r="B276" s="2" t="str">
        <x:v>I05</x:v>
      </x:c>
      <x:c r="C276" s="2" t="n">
        <x:v>2</x:v>
      </x:c>
      <x:c r="D276" s="2" t="str">
        <x:v>December normal</x:v>
      </x:c>
      <x:c r="E276" s="7" t="n">
        <x:v>3.5</x:v>
      </x:c>
      <x:c r="F276" s="2" t="n">
        <x:v>75</x:v>
      </x:c>
      <x:c r="G276" s="2" t="n">
        <x:v>11</x:v>
      </x:c>
      <x:c r="H276" s="2" t="n">
        <x:v>75</x:v>
      </x:c>
      <x:c r="I276" s="2" t="n">
        <x:v>0</x:v>
      </x:c>
      <x:c r="J276" s="2" t="n">
        <x:v>0</x:v>
      </x:c>
      <x:c r="K276" s="2" t="n">
        <x:v>0</x:v>
      </x:c>
    </x:row>
    <x:row r="277" ht="21" customHeight="1">
      <x:c r="A277" s="6" t="n">
        <x:v>46007</x:v>
      </x:c>
      <x:c r="B277" s="2" t="str">
        <x:v>I06</x:v>
      </x:c>
      <x:c r="C277" s="2" t="n">
        <x:v>2</x:v>
      </x:c>
      <x:c r="D277" s="2" t="str">
        <x:v>December normal</x:v>
      </x:c>
      <x:c r="E277" s="7" t="n">
        <x:v>3</x:v>
      </x:c>
      <x:c r="F277" s="2" t="n">
        <x:v>27</x:v>
      </x:c>
      <x:c r="G277" s="2" t="n">
        <x:v>4</x:v>
      </x:c>
      <x:c r="H277" s="2" t="n">
        <x:v>27</x:v>
      </x:c>
      <x:c r="I277" s="2" t="n">
        <x:v>0</x:v>
      </x:c>
      <x:c r="J277" s="2" t="n">
        <x:v>0</x:v>
      </x:c>
      <x:c r="K277" s="2" t="n">
        <x:v>0</x:v>
      </x:c>
    </x:row>
    <x:row r="278" ht="21" customHeight="1">
      <x:c r="A278" s="6" t="n">
        <x:v>46008</x:v>
      </x:c>
      <x:c r="B278" s="2" t="str">
        <x:v>I01</x:v>
      </x:c>
      <x:c r="C278" s="2" t="n">
        <x:v>3</x:v>
      </x:c>
      <x:c r="D278" s="2" t="str">
        <x:v>December normal</x:v>
      </x:c>
      <x:c r="E278" s="7" t="n">
        <x:v>8.5</x:v>
      </x:c>
      <x:c r="F278" s="2" t="n">
        <x:v>71</x:v>
      </x:c>
      <x:c r="G278" s="2" t="n">
        <x:v>11</x:v>
      </x:c>
      <x:c r="H278" s="2" t="n">
        <x:v>71</x:v>
      </x:c>
      <x:c r="I278" s="2" t="n">
        <x:v>0</x:v>
      </x:c>
      <x:c r="J278" s="2" t="n">
        <x:v>0</x:v>
      </x:c>
      <x:c r="K278" s="2" t="n">
        <x:v>0</x:v>
      </x:c>
    </x:row>
    <x:row r="279" ht="21" customHeight="1">
      <x:c r="A279" s="6" t="n">
        <x:v>46008</x:v>
      </x:c>
      <x:c r="B279" s="2" t="str">
        <x:v>I02</x:v>
      </x:c>
      <x:c r="C279" s="2" t="n">
        <x:v>3</x:v>
      </x:c>
      <x:c r="D279" s="2" t="str">
        <x:v>December normal</x:v>
      </x:c>
      <x:c r="E279" s="7" t="n">
        <x:v>8</x:v>
      </x:c>
      <x:c r="F279" s="2" t="n">
        <x:v>55</x:v>
      </x:c>
      <x:c r="G279" s="2" t="n">
        <x:v>8</x:v>
      </x:c>
      <x:c r="H279" s="2" t="n">
        <x:v>55</x:v>
      </x:c>
      <x:c r="I279" s="2" t="n">
        <x:v>0</x:v>
      </x:c>
      <x:c r="J279" s="2" t="n">
        <x:v>0</x:v>
      </x:c>
      <x:c r="K279" s="2" t="n">
        <x:v>0</x:v>
      </x:c>
    </x:row>
    <x:row r="280" ht="21" customHeight="1">
      <x:c r="A280" s="6" t="n">
        <x:v>46008</x:v>
      </x:c>
      <x:c r="B280" s="2" t="str">
        <x:v>I03</x:v>
      </x:c>
      <x:c r="C280" s="2" t="n">
        <x:v>3</x:v>
      </x:c>
      <x:c r="D280" s="2" t="str">
        <x:v>December normal</x:v>
      </x:c>
      <x:c r="E280" s="7" t="n">
        <x:v>7.5</x:v>
      </x:c>
      <x:c r="F280" s="2" t="n">
        <x:v>33</x:v>
      </x:c>
      <x:c r="G280" s="2" t="n">
        <x:v>5</x:v>
      </x:c>
      <x:c r="H280" s="2" t="n">
        <x:v>33</x:v>
      </x:c>
      <x:c r="I280" s="2" t="n">
        <x:v>0</x:v>
      </x:c>
      <x:c r="J280" s="2" t="n">
        <x:v>0</x:v>
      </x:c>
      <x:c r="K280" s="2" t="n">
        <x:v>0</x:v>
      </x:c>
    </x:row>
    <x:row r="281" ht="21" customHeight="1">
      <x:c r="A281" s="6" t="n">
        <x:v>46008</x:v>
      </x:c>
      <x:c r="B281" s="2" t="str">
        <x:v>I04</x:v>
      </x:c>
      <x:c r="C281" s="2" t="n">
        <x:v>3</x:v>
      </x:c>
      <x:c r="D281" s="2" t="str">
        <x:v>December normal</x:v>
      </x:c>
      <x:c r="E281" s="7" t="n">
        <x:v>9</x:v>
      </x:c>
      <x:c r="F281" s="2" t="n">
        <x:v>40</x:v>
      </x:c>
      <x:c r="G281" s="2" t="n">
        <x:v>6</x:v>
      </x:c>
      <x:c r="H281" s="2" t="n">
        <x:v>40</x:v>
      </x:c>
      <x:c r="I281" s="2" t="n">
        <x:v>0</x:v>
      </x:c>
      <x:c r="J281" s="2" t="n">
        <x:v>0</x:v>
      </x:c>
      <x:c r="K281" s="2" t="n">
        <x:v>0</x:v>
      </x:c>
    </x:row>
    <x:row r="282" ht="21" customHeight="1">
      <x:c r="A282" s="6" t="n">
        <x:v>46008</x:v>
      </x:c>
      <x:c r="B282" s="2" t="str">
        <x:v>I05</x:v>
      </x:c>
      <x:c r="C282" s="2" t="n">
        <x:v>3</x:v>
      </x:c>
      <x:c r="D282" s="2" t="str">
        <x:v>December normal</x:v>
      </x:c>
      <x:c r="E282" s="7" t="n">
        <x:v>3.5</x:v>
      </x:c>
      <x:c r="F282" s="2" t="n">
        <x:v>78</x:v>
      </x:c>
      <x:c r="G282" s="2" t="n">
        <x:v>11</x:v>
      </x:c>
      <x:c r="H282" s="2" t="n">
        <x:v>79</x:v>
      </x:c>
      <x:c r="I282" s="2" t="n">
        <x:v>0</x:v>
      </x:c>
      <x:c r="J282" s="2" t="n">
        <x:v>0</x:v>
      </x:c>
      <x:c r="K282" s="2" t="n">
        <x:v>0</x:v>
      </x:c>
    </x:row>
    <x:row r="283" ht="21" customHeight="1">
      <x:c r="A283" s="6" t="n">
        <x:v>46008</x:v>
      </x:c>
      <x:c r="B283" s="2" t="str">
        <x:v>I06</x:v>
      </x:c>
      <x:c r="C283" s="2" t="n">
        <x:v>3</x:v>
      </x:c>
      <x:c r="D283" s="2" t="str">
        <x:v>December normal</x:v>
      </x:c>
      <x:c r="E283" s="7" t="n">
        <x:v>3</x:v>
      </x:c>
      <x:c r="F283" s="2" t="n">
        <x:v>28</x:v>
      </x:c>
      <x:c r="G283" s="2" t="n">
        <x:v>4</x:v>
      </x:c>
      <x:c r="H283" s="2" t="n">
        <x:v>28</x:v>
      </x:c>
      <x:c r="I283" s="2" t="n">
        <x:v>0</x:v>
      </x:c>
      <x:c r="J283" s="2" t="n">
        <x:v>0</x:v>
      </x:c>
      <x:c r="K283" s="2" t="n">
        <x:v>0</x:v>
      </x:c>
    </x:row>
    <x:row r="284" ht="21" customHeight="1">
      <x:c r="A284" s="6" t="n">
        <x:v>46009</x:v>
      </x:c>
      <x:c r="B284" s="2" t="str">
        <x:v>I01</x:v>
      </x:c>
      <x:c r="C284" s="2" t="n">
        <x:v>4</x:v>
      </x:c>
      <x:c r="D284" s="2" t="str">
        <x:v>December normal</x:v>
      </x:c>
      <x:c r="E284" s="7" t="n">
        <x:v>8.5</x:v>
      </x:c>
      <x:c r="F284" s="2" t="n">
        <x:v>75</x:v>
      </x:c>
      <x:c r="G284" s="2" t="n">
        <x:v>11</x:v>
      </x:c>
      <x:c r="H284" s="2" t="n">
        <x:v>75</x:v>
      </x:c>
      <x:c r="I284" s="2" t="n">
        <x:v>0</x:v>
      </x:c>
      <x:c r="J284" s="2" t="n">
        <x:v>0</x:v>
      </x:c>
      <x:c r="K284" s="2" t="n">
        <x:v>0</x:v>
      </x:c>
    </x:row>
    <x:row r="285" ht="21" customHeight="1">
      <x:c r="A285" s="6" t="n">
        <x:v>46009</x:v>
      </x:c>
      <x:c r="B285" s="2" t="str">
        <x:v>I02</x:v>
      </x:c>
      <x:c r="C285" s="2" t="n">
        <x:v>4</x:v>
      </x:c>
      <x:c r="D285" s="2" t="str">
        <x:v>December normal</x:v>
      </x:c>
      <x:c r="E285" s="7" t="n">
        <x:v>8</x:v>
      </x:c>
      <x:c r="F285" s="2" t="n">
        <x:v>57</x:v>
      </x:c>
      <x:c r="G285" s="2" t="n">
        <x:v>8</x:v>
      </x:c>
      <x:c r="H285" s="2" t="n">
        <x:v>58</x:v>
      </x:c>
      <x:c r="I285" s="2" t="n">
        <x:v>0</x:v>
      </x:c>
      <x:c r="J285" s="2" t="n">
        <x:v>0</x:v>
      </x:c>
      <x:c r="K285" s="2" t="n">
        <x:v>0</x:v>
      </x:c>
    </x:row>
    <x:row r="286" ht="21" customHeight="1">
      <x:c r="A286" s="6" t="n">
        <x:v>46009</x:v>
      </x:c>
      <x:c r="B286" s="2" t="str">
        <x:v>I03</x:v>
      </x:c>
      <x:c r="C286" s="2" t="n">
        <x:v>4</x:v>
      </x:c>
      <x:c r="D286" s="2" t="str">
        <x:v>December normal</x:v>
      </x:c>
      <x:c r="E286" s="7" t="n">
        <x:v>7.5</x:v>
      </x:c>
      <x:c r="F286" s="2" t="n">
        <x:v>37</x:v>
      </x:c>
      <x:c r="G286" s="2" t="n">
        <x:v>5</x:v>
      </x:c>
      <x:c r="H286" s="2" t="n">
        <x:v>38</x:v>
      </x:c>
      <x:c r="I286" s="2" t="n">
        <x:v>0</x:v>
      </x:c>
      <x:c r="J286" s="2" t="n">
        <x:v>0</x:v>
      </x:c>
      <x:c r="K286" s="2" t="n">
        <x:v>0</x:v>
      </x:c>
    </x:row>
    <x:row r="287" ht="21" customHeight="1">
      <x:c r="A287" s="6" t="n">
        <x:v>46009</x:v>
      </x:c>
      <x:c r="B287" s="2" t="str">
        <x:v>I04</x:v>
      </x:c>
      <x:c r="C287" s="2" t="n">
        <x:v>4</x:v>
      </x:c>
      <x:c r="D287" s="2" t="str">
        <x:v>December normal</x:v>
      </x:c>
      <x:c r="E287" s="7" t="n">
        <x:v>9</x:v>
      </x:c>
      <x:c r="F287" s="2" t="n">
        <x:v>40</x:v>
      </x:c>
      <x:c r="G287" s="2" t="n">
        <x:v>6</x:v>
      </x:c>
      <x:c r="H287" s="2" t="n">
        <x:v>40</x:v>
      </x:c>
      <x:c r="I287" s="2" t="n">
        <x:v>0</x:v>
      </x:c>
      <x:c r="J287" s="2" t="n">
        <x:v>0</x:v>
      </x:c>
      <x:c r="K287" s="2" t="n">
        <x:v>0</x:v>
      </x:c>
    </x:row>
    <x:row r="288" ht="21" customHeight="1">
      <x:c r="A288" s="6" t="n">
        <x:v>46009</x:v>
      </x:c>
      <x:c r="B288" s="2" t="str">
        <x:v>I05</x:v>
      </x:c>
      <x:c r="C288" s="2" t="n">
        <x:v>4</x:v>
      </x:c>
      <x:c r="D288" s="2" t="str">
        <x:v>December normal</x:v>
      </x:c>
      <x:c r="E288" s="7" t="n">
        <x:v>3.5</x:v>
      </x:c>
      <x:c r="F288" s="2" t="n">
        <x:v>84</x:v>
      </x:c>
      <x:c r="G288" s="2" t="n">
        <x:v>12</x:v>
      </x:c>
      <x:c r="H288" s="2" t="n">
        <x:v>85</x:v>
      </x:c>
      <x:c r="I288" s="2" t="n">
        <x:v>0</x:v>
      </x:c>
      <x:c r="J288" s="2" t="n">
        <x:v>0</x:v>
      </x:c>
      <x:c r="K288" s="2" t="n">
        <x:v>0</x:v>
      </x:c>
    </x:row>
    <x:row r="289" ht="21" customHeight="1">
      <x:c r="A289" s="6" t="n">
        <x:v>46009</x:v>
      </x:c>
      <x:c r="B289" s="2" t="str">
        <x:v>I06</x:v>
      </x:c>
      <x:c r="C289" s="2" t="n">
        <x:v>4</x:v>
      </x:c>
      <x:c r="D289" s="2" t="str">
        <x:v>December normal</x:v>
      </x:c>
      <x:c r="E289" s="7" t="n">
        <x:v>3</x:v>
      </x:c>
      <x:c r="F289" s="2" t="n">
        <x:v>32</x:v>
      </x:c>
      <x:c r="G289" s="2" t="n">
        <x:v>4</x:v>
      </x:c>
      <x:c r="H289" s="2" t="n">
        <x:v>33</x:v>
      </x:c>
      <x:c r="I289" s="2" t="n">
        <x:v>0</x:v>
      </x:c>
      <x:c r="J289" s="2" t="n">
        <x:v>0</x:v>
      </x:c>
      <x:c r="K289" s="2" t="n">
        <x:v>0</x:v>
      </x:c>
    </x:row>
    <x:row r="290" ht="21" customHeight="1">
      <x:c r="A290" s="6" t="n">
        <x:v>46010</x:v>
      </x:c>
      <x:c r="B290" s="2" t="str">
        <x:v>I01</x:v>
      </x:c>
      <x:c r="C290" s="2" t="n">
        <x:v>5</x:v>
      </x:c>
      <x:c r="D290" s="2" t="str">
        <x:v>December normal</x:v>
      </x:c>
      <x:c r="E290" s="7" t="n">
        <x:v>8.5</x:v>
      </x:c>
      <x:c r="F290" s="2" t="n">
        <x:v>90</x:v>
      </x:c>
      <x:c r="G290" s="2" t="n">
        <x:v>11</x:v>
      </x:c>
      <x:c r="H290" s="2" t="n">
        <x:v>92</x:v>
      </x:c>
      <x:c r="I290" s="2" t="n">
        <x:v>0</x:v>
      </x:c>
      <x:c r="J290" s="2" t="n">
        <x:v>0</x:v>
      </x:c>
      <x:c r="K290" s="2" t="n">
        <x:v>0</x:v>
      </x:c>
    </x:row>
    <x:row r="291" ht="21" customHeight="1">
      <x:c r="A291" s="6" t="n">
        <x:v>46010</x:v>
      </x:c>
      <x:c r="B291" s="2" t="str">
        <x:v>I02</x:v>
      </x:c>
      <x:c r="C291" s="2" t="n">
        <x:v>5</x:v>
      </x:c>
      <x:c r="D291" s="2" t="str">
        <x:v>December normal</x:v>
      </x:c>
      <x:c r="E291" s="7" t="n">
        <x:v>8</x:v>
      </x:c>
      <x:c r="F291" s="2" t="n">
        <x:v>75</x:v>
      </x:c>
      <x:c r="G291" s="2" t="n">
        <x:v>9</x:v>
      </x:c>
      <x:c r="H291" s="2" t="n">
        <x:v>77</x:v>
      </x:c>
      <x:c r="I291" s="2" t="n">
        <x:v>0</x:v>
      </x:c>
      <x:c r="J291" s="2" t="n">
        <x:v>0</x:v>
      </x:c>
      <x:c r="K291" s="2" t="n">
        <x:v>0</x:v>
      </x:c>
    </x:row>
    <x:row r="292" ht="21" customHeight="1">
      <x:c r="A292" s="6" t="n">
        <x:v>46010</x:v>
      </x:c>
      <x:c r="B292" s="2" t="str">
        <x:v>I03</x:v>
      </x:c>
      <x:c r="C292" s="2" t="n">
        <x:v>5</x:v>
      </x:c>
      <x:c r="D292" s="2" t="str">
        <x:v>December normal</x:v>
      </x:c>
      <x:c r="E292" s="7" t="n">
        <x:v>7.5</x:v>
      </x:c>
      <x:c r="F292" s="2" t="n">
        <x:v>42</x:v>
      </x:c>
      <x:c r="G292" s="2" t="n">
        <x:v>6</x:v>
      </x:c>
      <x:c r="H292" s="2" t="n">
        <x:v>42</x:v>
      </x:c>
      <x:c r="I292" s="2" t="n">
        <x:v>0</x:v>
      </x:c>
      <x:c r="J292" s="2" t="n">
        <x:v>0</x:v>
      </x:c>
      <x:c r="K292" s="2" t="n">
        <x:v>0</x:v>
      </x:c>
    </x:row>
    <x:row r="293" ht="21" customHeight="1">
      <x:c r="A293" s="6" t="n">
        <x:v>46010</x:v>
      </x:c>
      <x:c r="B293" s="2" t="str">
        <x:v>I04</x:v>
      </x:c>
      <x:c r="C293" s="2" t="n">
        <x:v>5</x:v>
      </x:c>
      <x:c r="D293" s="2" t="str">
        <x:v>December normal</x:v>
      </x:c>
      <x:c r="E293" s="7" t="n">
        <x:v>9</x:v>
      </x:c>
      <x:c r="F293" s="2" t="n">
        <x:v>49</x:v>
      </x:c>
      <x:c r="G293" s="2" t="n">
        <x:v>6</x:v>
      </x:c>
      <x:c r="H293" s="2" t="n">
        <x:v>50</x:v>
      </x:c>
      <x:c r="I293" s="2" t="n">
        <x:v>0</x:v>
      </x:c>
      <x:c r="J293" s="2" t="n">
        <x:v>0</x:v>
      </x:c>
      <x:c r="K293" s="2" t="n">
        <x:v>0</x:v>
      </x:c>
    </x:row>
    <x:row r="294" ht="21" customHeight="1">
      <x:c r="A294" s="6" t="n">
        <x:v>46010</x:v>
      </x:c>
      <x:c r="B294" s="2" t="str">
        <x:v>I05</x:v>
      </x:c>
      <x:c r="C294" s="2" t="n">
        <x:v>5</x:v>
      </x:c>
      <x:c r="D294" s="2" t="str">
        <x:v>December normal</x:v>
      </x:c>
      <x:c r="E294" s="7" t="n">
        <x:v>3.5</x:v>
      </x:c>
      <x:c r="F294" s="2" t="n">
        <x:v>102</x:v>
      </x:c>
      <x:c r="G294" s="2" t="n">
        <x:v>13</x:v>
      </x:c>
      <x:c r="H294" s="2" t="n">
        <x:v>104</x:v>
      </x:c>
      <x:c r="I294" s="2" t="n">
        <x:v>0</x:v>
      </x:c>
      <x:c r="J294" s="2" t="n">
        <x:v>0</x:v>
      </x:c>
      <x:c r="K294" s="2" t="n">
        <x:v>0</x:v>
      </x:c>
    </x:row>
    <x:row r="295" ht="21" customHeight="1">
      <x:c r="A295" s="6" t="n">
        <x:v>46010</x:v>
      </x:c>
      <x:c r="B295" s="2" t="str">
        <x:v>I06</x:v>
      </x:c>
      <x:c r="C295" s="2" t="n">
        <x:v>5</x:v>
      </x:c>
      <x:c r="D295" s="2" t="str">
        <x:v>December normal</x:v>
      </x:c>
      <x:c r="E295" s="7" t="n">
        <x:v>3</x:v>
      </x:c>
      <x:c r="F295" s="2" t="n">
        <x:v>37</x:v>
      </x:c>
      <x:c r="G295" s="2" t="n">
        <x:v>5</x:v>
      </x:c>
      <x:c r="H295" s="2" t="n">
        <x:v>38</x:v>
      </x:c>
      <x:c r="I295" s="2" t="n">
        <x:v>0</x:v>
      </x:c>
      <x:c r="J295" s="2" t="n">
        <x:v>0</x:v>
      </x:c>
      <x:c r="K295" s="2" t="n">
        <x:v>0</x:v>
      </x:c>
    </x:row>
    <x:row r="296" ht="21" customHeight="1">
      <x:c r="A296" s="6" t="n">
        <x:v>46011</x:v>
      </x:c>
      <x:c r="B296" s="2" t="str">
        <x:v>I01</x:v>
      </x:c>
      <x:c r="C296" s="2" t="n">
        <x:v>6</x:v>
      </x:c>
      <x:c r="D296" s="2" t="str">
        <x:v>Christmas</x:v>
      </x:c>
      <x:c r="E296" s="7" t="n">
        <x:v>8.5</x:v>
      </x:c>
      <x:c r="F296" s="2" t="n">
        <x:v>134</x:v>
      </x:c>
      <x:c r="G296" s="2" t="n">
        <x:v>13</x:v>
      </x:c>
      <x:c r="H296" s="2" t="n">
        <x:v>141</x:v>
      </x:c>
      <x:c r="I296" s="2" t="n">
        <x:v>0</x:v>
      </x:c>
      <x:c r="J296" s="2" t="n">
        <x:v>0</x:v>
      </x:c>
      <x:c r="K296" s="2" t="n">
        <x:v>0</x:v>
      </x:c>
    </x:row>
    <x:row r="297" ht="21" customHeight="1">
      <x:c r="A297" s="6" t="n">
        <x:v>46011</x:v>
      </x:c>
      <x:c r="B297" s="2" t="str">
        <x:v>I02</x:v>
      </x:c>
      <x:c r="C297" s="2" t="n">
        <x:v>6</x:v>
      </x:c>
      <x:c r="D297" s="2" t="str">
        <x:v>Christmas</x:v>
      </x:c>
      <x:c r="E297" s="7" t="n">
        <x:v>8</x:v>
      </x:c>
      <x:c r="F297" s="2" t="n">
        <x:v>110</x:v>
      </x:c>
      <x:c r="G297" s="2" t="n">
        <x:v>11</x:v>
      </x:c>
      <x:c r="H297" s="2" t="n">
        <x:v>115</x:v>
      </x:c>
      <x:c r="I297" s="2" t="n">
        <x:v>0</x:v>
      </x:c>
      <x:c r="J297" s="2" t="n">
        <x:v>0</x:v>
      </x:c>
      <x:c r="K297" s="2" t="n">
        <x:v>0</x:v>
      </x:c>
    </x:row>
    <x:row r="298" ht="21" customHeight="1">
      <x:c r="A298" s="6" t="n">
        <x:v>46011</x:v>
      </x:c>
      <x:c r="B298" s="2" t="str">
        <x:v>I03</x:v>
      </x:c>
      <x:c r="C298" s="2" t="n">
        <x:v>6</x:v>
      </x:c>
      <x:c r="D298" s="2" t="str">
        <x:v>Christmas</x:v>
      </x:c>
      <x:c r="E298" s="7" t="n">
        <x:v>7.5</x:v>
      </x:c>
      <x:c r="F298" s="2" t="n">
        <x:v>57</x:v>
      </x:c>
      <x:c r="G298" s="2" t="n">
        <x:v>6</x:v>
      </x:c>
      <x:c r="H298" s="2" t="n">
        <x:v>60</x:v>
      </x:c>
      <x:c r="I298" s="2" t="n">
        <x:v>0</x:v>
      </x:c>
      <x:c r="J298" s="2" t="n">
        <x:v>0</x:v>
      </x:c>
      <x:c r="K298" s="2" t="n">
        <x:v>0</x:v>
      </x:c>
    </x:row>
    <x:row r="299" ht="21" customHeight="1">
      <x:c r="A299" s="6" t="n">
        <x:v>46011</x:v>
      </x:c>
      <x:c r="B299" s="2" t="str">
        <x:v>I04</x:v>
      </x:c>
      <x:c r="C299" s="2" t="n">
        <x:v>6</x:v>
      </x:c>
      <x:c r="D299" s="2" t="str">
        <x:v>Christmas</x:v>
      </x:c>
      <x:c r="E299" s="7" t="n">
        <x:v>9</x:v>
      </x:c>
      <x:c r="F299" s="2" t="n">
        <x:v>62</x:v>
      </x:c>
      <x:c r="G299" s="2" t="n">
        <x:v>7</x:v>
      </x:c>
      <x:c r="H299" s="2" t="n">
        <x:v>64</x:v>
      </x:c>
      <x:c r="I299" s="2" t="n">
        <x:v>0</x:v>
      </x:c>
      <x:c r="J299" s="2" t="n">
        <x:v>0</x:v>
      </x:c>
      <x:c r="K299" s="2" t="n">
        <x:v>0</x:v>
      </x:c>
    </x:row>
    <x:row r="300" ht="21" customHeight="1">
      <x:c r="A300" s="6" t="n">
        <x:v>46011</x:v>
      </x:c>
      <x:c r="B300" s="2" t="str">
        <x:v>I05</x:v>
      </x:c>
      <x:c r="C300" s="2" t="n">
        <x:v>6</x:v>
      </x:c>
      <x:c r="D300" s="2" t="str">
        <x:v>Christmas</x:v>
      </x:c>
      <x:c r="E300" s="7" t="n">
        <x:v>3.5</x:v>
      </x:c>
      <x:c r="F300" s="2" t="n">
        <x:v>136</x:v>
      </x:c>
      <x:c r="G300" s="2" t="n">
        <x:v>15</x:v>
      </x:c>
      <x:c r="H300" s="2" t="n">
        <x:v>141</x:v>
      </x:c>
      <x:c r="I300" s="2" t="n">
        <x:v>0</x:v>
      </x:c>
      <x:c r="J300" s="2" t="n">
        <x:v>0</x:v>
      </x:c>
      <x:c r="K300" s="2" t="n">
        <x:v>0</x:v>
      </x:c>
    </x:row>
    <x:row r="301" ht="21" customHeight="1">
      <x:c r="A301" s="6" t="n">
        <x:v>46011</x:v>
      </x:c>
      <x:c r="B301" s="2" t="str">
        <x:v>I06</x:v>
      </x:c>
      <x:c r="C301" s="2" t="n">
        <x:v>6</x:v>
      </x:c>
      <x:c r="D301" s="2" t="str">
        <x:v>Christmas</x:v>
      </x:c>
      <x:c r="E301" s="7" t="n">
        <x:v>3</x:v>
      </x:c>
      <x:c r="F301" s="2" t="n">
        <x:v>51</x:v>
      </x:c>
      <x:c r="G301" s="2" t="n">
        <x:v>6</x:v>
      </x:c>
      <x:c r="H301" s="2" t="n">
        <x:v>53</x:v>
      </x:c>
      <x:c r="I301" s="2" t="n">
        <x:v>0</x:v>
      </x:c>
      <x:c r="J301" s="2" t="n">
        <x:v>0</x:v>
      </x:c>
      <x:c r="K301" s="2" t="n">
        <x:v>0</x:v>
      </x:c>
    </x:row>
    <x:row r="302" ht="21" customHeight="1">
      <x:c r="A302" s="6" t="n">
        <x:v>46012</x:v>
      </x:c>
      <x:c r="B302" s="2" t="str">
        <x:v>I01</x:v>
      </x:c>
      <x:c r="C302" s="2" t="n">
        <x:v>7</x:v>
      </x:c>
      <x:c r="D302" s="2" t="str">
        <x:v>Christmas</x:v>
      </x:c>
      <x:c r="E302" s="7" t="n">
        <x:v>8.5</x:v>
      </x:c>
      <x:c r="F302" s="2" t="n">
        <x:v>120</x:v>
      </x:c>
      <x:c r="G302" s="2" t="n">
        <x:v>20</x:v>
      </x:c>
      <x:c r="H302" s="2" t="n">
        <x:v>57</x:v>
      </x:c>
      <x:c r="I302" s="2" t="n">
        <x:v>0</x:v>
      </x:c>
      <x:c r="J302" s="2" t="n">
        <x:v>15</x:v>
      </x:c>
      <x:c r="K302" s="2" t="n">
        <x:v>3.6</x:v>
      </x:c>
    </x:row>
    <x:row r="303" ht="21" customHeight="1">
      <x:c r="A303" s="6" t="n">
        <x:v>46012</x:v>
      </x:c>
      <x:c r="B303" s="2" t="str">
        <x:v>I02</x:v>
      </x:c>
      <x:c r="C303" s="2" t="n">
        <x:v>7</x:v>
      </x:c>
      <x:c r="D303" s="2" t="str">
        <x:v>Christmas</x:v>
      </x:c>
      <x:c r="E303" s="7" t="n">
        <x:v>8</x:v>
      </x:c>
      <x:c r="F303" s="2" t="n">
        <x:v>87</x:v>
      </x:c>
      <x:c r="G303" s="2" t="n">
        <x:v>16</x:v>
      </x:c>
      <x:c r="H303" s="2" t="n">
        <x:v>40</x:v>
      </x:c>
      <x:c r="I303" s="2" t="n">
        <x:v>0</x:v>
      </x:c>
      <x:c r="J303" s="2" t="n">
        <x:v>11</x:v>
      </x:c>
      <x:c r="K303" s="2" t="n">
        <x:v>3.6</x:v>
      </x:c>
    </x:row>
    <x:row r="304" ht="21" customHeight="1">
      <x:c r="A304" s="6" t="n">
        <x:v>46012</x:v>
      </x:c>
      <x:c r="B304" s="2" t="str">
        <x:v>I03</x:v>
      </x:c>
      <x:c r="C304" s="2" t="n">
        <x:v>7</x:v>
      </x:c>
      <x:c r="D304" s="2" t="str">
        <x:v>Christmas</x:v>
      </x:c>
      <x:c r="E304" s="7" t="n">
        <x:v>7.5</x:v>
      </x:c>
      <x:c r="F304" s="2" t="n">
        <x:v>45</x:v>
      </x:c>
      <x:c r="G304" s="2" t="n">
        <x:v>9</x:v>
      </x:c>
      <x:c r="H304" s="2" t="n">
        <x:v>68</x:v>
      </x:c>
      <x:c r="I304" s="2" t="n">
        <x:v>26</x:v>
      </x:c>
      <x:c r="J304" s="2" t="n">
        <x:v>0</x:v>
      </x:c>
      <x:c r="K304" s="2" t="n">
        <x:v>0</x:v>
      </x:c>
    </x:row>
    <x:row r="305" ht="21" customHeight="1">
      <x:c r="A305" s="6" t="n">
        <x:v>46012</x:v>
      </x:c>
      <x:c r="B305" s="2" t="str">
        <x:v>I04</x:v>
      </x:c>
      <x:c r="C305" s="2" t="n">
        <x:v>7</x:v>
      </x:c>
      <x:c r="D305" s="2" t="str">
        <x:v>Christmas</x:v>
      </x:c>
      <x:c r="E305" s="7" t="n">
        <x:v>9</x:v>
      </x:c>
      <x:c r="F305" s="2" t="n">
        <x:v>55</x:v>
      </x:c>
      <x:c r="G305" s="2" t="n">
        <x:v>9</x:v>
      </x:c>
      <x:c r="H305" s="2" t="n">
        <x:v>79</x:v>
      </x:c>
      <x:c r="I305" s="2" t="n">
        <x:v>0</x:v>
      </x:c>
      <x:c r="J305" s="2" t="n">
        <x:v>0</x:v>
      </x:c>
      <x:c r="K305" s="2" t="n">
        <x:v>0</x:v>
      </x:c>
    </x:row>
    <x:row r="306" ht="21" customHeight="1">
      <x:c r="A306" s="6" t="n">
        <x:v>46012</x:v>
      </x:c>
      <x:c r="B306" s="2" t="str">
        <x:v>I05</x:v>
      </x:c>
      <x:c r="C306" s="2" t="n">
        <x:v>7</x:v>
      </x:c>
      <x:c r="D306" s="2" t="str">
        <x:v>Christmas</x:v>
      </x:c>
      <x:c r="E306" s="7" t="n">
        <x:v>3.5</x:v>
      </x:c>
      <x:c r="F306" s="2" t="n">
        <x:v>113</x:v>
      </x:c>
      <x:c r="G306" s="2" t="n">
        <x:v>20</x:v>
      </x:c>
      <x:c r="H306" s="2" t="n">
        <x:v>110</x:v>
      </x:c>
      <x:c r="I306" s="2" t="n">
        <x:v>0</x:v>
      </x:c>
      <x:c r="J306" s="2" t="n">
        <x:v>0</x:v>
      </x:c>
      <x:c r="K306" s="2" t="n">
        <x:v>0</x:v>
      </x:c>
    </x:row>
    <x:row r="307" ht="21" customHeight="1">
      <x:c r="A307" s="6" t="n">
        <x:v>46012</x:v>
      </x:c>
      <x:c r="B307" s="2" t="str">
        <x:v>I06</x:v>
      </x:c>
      <x:c r="C307" s="2" t="n">
        <x:v>7</x:v>
      </x:c>
      <x:c r="D307" s="2" t="str">
        <x:v>Christmas</x:v>
      </x:c>
      <x:c r="E307" s="7" t="n">
        <x:v>3</x:v>
      </x:c>
      <x:c r="F307" s="2" t="n">
        <x:v>40</x:v>
      </x:c>
      <x:c r="G307" s="2" t="n">
        <x:v>8</x:v>
      </x:c>
      <x:c r="H307" s="2" t="n">
        <x:v>38</x:v>
      </x:c>
      <x:c r="I307" s="2" t="n">
        <x:v>0</x:v>
      </x:c>
      <x:c r="J307" s="2" t="n">
        <x:v>0</x:v>
      </x:c>
      <x:c r="K307" s="2" t="n">
        <x:v>0</x:v>
      </x:c>
    </x:row>
    <x:row r="308" ht="21" customHeight="1">
      <x:c r="A308" s="6" t="n">
        <x:v>46013</x:v>
      </x:c>
      <x:c r="B308" s="2" t="str">
        <x:v>I01</x:v>
      </x:c>
      <x:c r="C308" s="2" t="n">
        <x:v>1</x:v>
      </x:c>
      <x:c r="D308" s="2" t="str">
        <x:v>Christmas</x:v>
      </x:c>
      <x:c r="E308" s="7" t="n">
        <x:v>8.5</x:v>
      </x:c>
      <x:c r="F308" s="2" t="n">
        <x:v>84</x:v>
      </x:c>
      <x:c r="G308" s="2" t="n">
        <x:v>0</x:v>
      </x:c>
      <x:c r="H308" s="2" t="n">
        <x:v>55</x:v>
      </x:c>
      <x:c r="I308" s="2" t="n">
        <x:v>0</x:v>
      </x:c>
      <x:c r="J308" s="2" t="n">
        <x:v>19</x:v>
      </x:c>
      <x:c r="K308" s="2" t="n">
        <x:v>3.5</x:v>
      </x:c>
    </x:row>
    <x:row r="309" ht="21" customHeight="1">
      <x:c r="A309" s="6" t="n">
        <x:v>46013</x:v>
      </x:c>
      <x:c r="B309" s="2" t="str">
        <x:v>I02</x:v>
      </x:c>
      <x:c r="C309" s="2" t="n">
        <x:v>1</x:v>
      </x:c>
      <x:c r="D309" s="2" t="str">
        <x:v>Christmas</x:v>
      </x:c>
      <x:c r="E309" s="7" t="n">
        <x:v>8</x:v>
      </x:c>
      <x:c r="F309" s="2" t="n">
        <x:v>69</x:v>
      </x:c>
      <x:c r="G309" s="2" t="n">
        <x:v>0</x:v>
      </x:c>
      <x:c r="H309" s="2" t="n">
        <x:v>45</x:v>
      </x:c>
      <x:c r="I309" s="2" t="n">
        <x:v>0</x:v>
      </x:c>
      <x:c r="J309" s="2" t="n">
        <x:v>16</x:v>
      </x:c>
      <x:c r="K309" s="2" t="n">
        <x:v>3.5</x:v>
      </x:c>
    </x:row>
    <x:row r="310" ht="21" customHeight="1">
      <x:c r="A310" s="6" t="n">
        <x:v>46013</x:v>
      </x:c>
      <x:c r="B310" s="2" t="str">
        <x:v>I03</x:v>
      </x:c>
      <x:c r="C310" s="2" t="n">
        <x:v>1</x:v>
      </x:c>
      <x:c r="D310" s="2" t="str">
        <x:v>Christmas</x:v>
      </x:c>
      <x:c r="E310" s="7" t="n">
        <x:v>7.5</x:v>
      </x:c>
      <x:c r="F310" s="2" t="n">
        <x:v>34</x:v>
      </x:c>
      <x:c r="G310" s="2" t="n">
        <x:v>6</x:v>
      </x:c>
      <x:c r="H310" s="2" t="n">
        <x:v>58</x:v>
      </x:c>
      <x:c r="I310" s="2" t="n">
        <x:v>30</x:v>
      </x:c>
      <x:c r="J310" s="2" t="n">
        <x:v>0</x:v>
      </x:c>
      <x:c r="K310" s="2" t="n">
        <x:v>0</x:v>
      </x:c>
    </x:row>
    <x:row r="311" ht="21" customHeight="1">
      <x:c r="A311" s="6" t="n">
        <x:v>46013</x:v>
      </x:c>
      <x:c r="B311" s="2" t="str">
        <x:v>I04</x:v>
      </x:c>
      <x:c r="C311" s="2" t="n">
        <x:v>1</x:v>
      </x:c>
      <x:c r="D311" s="2" t="str">
        <x:v>Christmas</x:v>
      </x:c>
      <x:c r="E311" s="7" t="n">
        <x:v>9</x:v>
      </x:c>
      <x:c r="F311" s="2" t="n">
        <x:v>43</x:v>
      </x:c>
      <x:c r="G311" s="2" t="n">
        <x:v>33</x:v>
      </x:c>
      <x:c r="H311" s="2" t="n">
        <x:v>41</x:v>
      </x:c>
      <x:c r="I311" s="2" t="n">
        <x:v>5</x:v>
      </x:c>
      <x:c r="J311" s="2" t="n">
        <x:v>0</x:v>
      </x:c>
      <x:c r="K311" s="2" t="n">
        <x:v>0</x:v>
      </x:c>
    </x:row>
    <x:row r="312" ht="21" customHeight="1">
      <x:c r="A312" s="6" t="n">
        <x:v>46013</x:v>
      </x:c>
      <x:c r="B312" s="2" t="str">
        <x:v>I05</x:v>
      </x:c>
      <x:c r="C312" s="2" t="n">
        <x:v>1</x:v>
      </x:c>
      <x:c r="D312" s="2" t="str">
        <x:v>Christmas</x:v>
      </x:c>
      <x:c r="E312" s="7" t="n">
        <x:v>3.5</x:v>
      </x:c>
      <x:c r="F312" s="2" t="n">
        <x:v>90</x:v>
      </x:c>
      <x:c r="G312" s="2" t="n">
        <x:v>17</x:v>
      </x:c>
      <x:c r="H312" s="2" t="n">
        <x:v>86</x:v>
      </x:c>
      <x:c r="I312" s="2" t="n">
        <x:v>0</x:v>
      </x:c>
      <x:c r="J312" s="2" t="n">
        <x:v>0</x:v>
      </x:c>
      <x:c r="K312" s="2" t="n">
        <x:v>0</x:v>
      </x:c>
    </x:row>
    <x:row r="313" ht="21" customHeight="1">
      <x:c r="A313" s="6" t="n">
        <x:v>46013</x:v>
      </x:c>
      <x:c r="B313" s="2" t="str">
        <x:v>I06</x:v>
      </x:c>
      <x:c r="C313" s="2" t="n">
        <x:v>1</x:v>
      </x:c>
      <x:c r="D313" s="2" t="str">
        <x:v>Christmas</x:v>
      </x:c>
      <x:c r="E313" s="7" t="n">
        <x:v>3</x:v>
      </x:c>
      <x:c r="F313" s="2" t="n">
        <x:v>34</x:v>
      </x:c>
      <x:c r="G313" s="2" t="n">
        <x:v>6</x:v>
      </x:c>
      <x:c r="H313" s="2" t="n">
        <x:v>33</x:v>
      </x:c>
      <x:c r="I313" s="2" t="n">
        <x:v>0</x:v>
      </x:c>
      <x:c r="J313" s="2" t="n">
        <x:v>0</x:v>
      </x:c>
      <x:c r="K313" s="2" t="n">
        <x:v>0</x:v>
      </x:c>
    </x:row>
    <x:row r="314" ht="21" customHeight="1">
      <x:c r="A314" s="6" t="n">
        <x:v>46014</x:v>
      </x:c>
      <x:c r="B314" s="2" t="str">
        <x:v>I01</x:v>
      </x:c>
      <x:c r="C314" s="2" t="n">
        <x:v>2</x:v>
      </x:c>
      <x:c r="D314" s="2" t="str">
        <x:v>Christmas</x:v>
      </x:c>
      <x:c r="E314" s="7" t="n">
        <x:v>8.5</x:v>
      </x:c>
      <x:c r="F314" s="2" t="n">
        <x:v>89</x:v>
      </x:c>
      <x:c r="G314" s="2" t="n">
        <x:v>0</x:v>
      </x:c>
      <x:c r="H314" s="2" t="n">
        <x:v>58</x:v>
      </x:c>
      <x:c r="I314" s="2" t="n">
        <x:v>0</x:v>
      </x:c>
      <x:c r="J314" s="2" t="n">
        <x:v>20</x:v>
      </x:c>
      <x:c r="K314" s="2" t="n">
        <x:v>3.5</x:v>
      </x:c>
    </x:row>
    <x:row r="315" ht="21" customHeight="1">
      <x:c r="A315" s="6" t="n">
        <x:v>46014</x:v>
      </x:c>
      <x:c r="B315" s="2" t="str">
        <x:v>I02</x:v>
      </x:c>
      <x:c r="C315" s="2" t="n">
        <x:v>2</x:v>
      </x:c>
      <x:c r="D315" s="2" t="str">
        <x:v>Christmas</x:v>
      </x:c>
      <x:c r="E315" s="7" t="n">
        <x:v>8</x:v>
      </x:c>
      <x:c r="F315" s="2" t="n">
        <x:v>74</x:v>
      </x:c>
      <x:c r="G315" s="2" t="n">
        <x:v>0</x:v>
      </x:c>
      <x:c r="H315" s="2" t="n">
        <x:v>48</x:v>
      </x:c>
      <x:c r="I315" s="2" t="n">
        <x:v>0</x:v>
      </x:c>
      <x:c r="J315" s="2" t="n">
        <x:v>17</x:v>
      </x:c>
      <x:c r="K315" s="2" t="n">
        <x:v>3.5</x:v>
      </x:c>
    </x:row>
    <x:row r="316" ht="21" customHeight="1">
      <x:c r="A316" s="6" t="n">
        <x:v>46014</x:v>
      </x:c>
      <x:c r="B316" s="2" t="str">
        <x:v>I03</x:v>
      </x:c>
      <x:c r="C316" s="2" t="n">
        <x:v>2</x:v>
      </x:c>
      <x:c r="D316" s="2" t="str">
        <x:v>Christmas</x:v>
      </x:c>
      <x:c r="E316" s="7" t="n">
        <x:v>7.5</x:v>
      </x:c>
      <x:c r="F316" s="2" t="n">
        <x:v>35</x:v>
      </x:c>
      <x:c r="G316" s="2" t="n">
        <x:v>0</x:v>
      </x:c>
      <x:c r="H316" s="2" t="n">
        <x:v>65</x:v>
      </x:c>
      <x:c r="I316" s="2" t="n">
        <x:v>30</x:v>
      </x:c>
      <x:c r="J316" s="2" t="n">
        <x:v>0</x:v>
      </x:c>
      <x:c r="K316" s="2" t="n">
        <x:v>0</x:v>
      </x:c>
    </x:row>
    <x:row r="317" ht="21" customHeight="1">
      <x:c r="A317" s="6" t="n">
        <x:v>46014</x:v>
      </x:c>
      <x:c r="B317" s="2" t="str">
        <x:v>I04</x:v>
      </x:c>
      <x:c r="C317" s="2" t="n">
        <x:v>2</x:v>
      </x:c>
      <x:c r="D317" s="2" t="str">
        <x:v>Christmas</x:v>
      </x:c>
      <x:c r="E317" s="7" t="n">
        <x:v>9</x:v>
      </x:c>
      <x:c r="F317" s="2" t="n">
        <x:v>43</x:v>
      </x:c>
      <x:c r="G317" s="2" t="n">
        <x:v>26</x:v>
      </x:c>
      <x:c r="H317" s="2" t="n">
        <x:v>48</x:v>
      </x:c>
      <x:c r="I317" s="2" t="n">
        <x:v>7</x:v>
      </x:c>
      <x:c r="J317" s="2" t="n">
        <x:v>0</x:v>
      </x:c>
      <x:c r="K317" s="2" t="n">
        <x:v>0</x:v>
      </x:c>
    </x:row>
    <x:row r="318" ht="21" customHeight="1">
      <x:c r="A318" s="6" t="n">
        <x:v>46014</x:v>
      </x:c>
      <x:c r="B318" s="2" t="str">
        <x:v>I05</x:v>
      </x:c>
      <x:c r="C318" s="2" t="n">
        <x:v>2</x:v>
      </x:c>
      <x:c r="D318" s="2" t="str">
        <x:v>Christmas</x:v>
      </x:c>
      <x:c r="E318" s="7" t="n">
        <x:v>3.5</x:v>
      </x:c>
      <x:c r="F318" s="2" t="n">
        <x:v>95</x:v>
      </x:c>
      <x:c r="G318" s="2" t="n">
        <x:v>13</x:v>
      </x:c>
      <x:c r="H318" s="2" t="n">
        <x:v>96</x:v>
      </x:c>
      <x:c r="I318" s="2" t="n">
        <x:v>0</x:v>
      </x:c>
      <x:c r="J318" s="2" t="n">
        <x:v>0</x:v>
      </x:c>
      <x:c r="K318" s="2" t="n">
        <x:v>0</x:v>
      </x:c>
    </x:row>
    <x:row r="319" ht="21" customHeight="1">
      <x:c r="A319" s="6" t="n">
        <x:v>46014</x:v>
      </x:c>
      <x:c r="B319" s="2" t="str">
        <x:v>I06</x:v>
      </x:c>
      <x:c r="C319" s="2" t="n">
        <x:v>2</x:v>
      </x:c>
      <x:c r="D319" s="2" t="str">
        <x:v>Christmas</x:v>
      </x:c>
      <x:c r="E319" s="7" t="n">
        <x:v>3</x:v>
      </x:c>
      <x:c r="F319" s="2" t="n">
        <x:v>36</x:v>
      </x:c>
      <x:c r="G319" s="2" t="n">
        <x:v>5</x:v>
      </x:c>
      <x:c r="H319" s="2" t="n">
        <x:v>36</x:v>
      </x:c>
      <x:c r="I319" s="2" t="n">
        <x:v>0</x:v>
      </x:c>
      <x:c r="J319" s="2" t="n">
        <x:v>0</x:v>
      </x:c>
      <x:c r="K319" s="2" t="n">
        <x:v>0</x:v>
      </x:c>
    </x:row>
    <x:row r="320" ht="21" customHeight="1">
      <x:c r="A320" s="6" t="n">
        <x:v>46015</x:v>
      </x:c>
      <x:c r="B320" s="2" t="str">
        <x:v>I01</x:v>
      </x:c>
      <x:c r="C320" s="2" t="n">
        <x:v>3</x:v>
      </x:c>
      <x:c r="D320" s="2" t="str">
        <x:v>Christmas</x:v>
      </x:c>
      <x:c r="E320" s="7" t="n">
        <x:v>8.5</x:v>
      </x:c>
      <x:c r="F320" s="2" t="n">
        <x:v>92</x:v>
      </x:c>
      <x:c r="G320" s="2" t="n">
        <x:v>0</x:v>
      </x:c>
      <x:c r="H320" s="2" t="n">
        <x:v>60</x:v>
      </x:c>
      <x:c r="I320" s="2" t="n">
        <x:v>0</x:v>
      </x:c>
      <x:c r="J320" s="2" t="n">
        <x:v>21</x:v>
      </x:c>
      <x:c r="K320" s="2" t="n">
        <x:v>3.5</x:v>
      </x:c>
    </x:row>
    <x:row r="321" ht="21" customHeight="1">
      <x:c r="A321" s="6" t="n">
        <x:v>46015</x:v>
      </x:c>
      <x:c r="B321" s="2" t="str">
        <x:v>I02</x:v>
      </x:c>
      <x:c r="C321" s="2" t="n">
        <x:v>3</x:v>
      </x:c>
      <x:c r="D321" s="2" t="str">
        <x:v>Christmas</x:v>
      </x:c>
      <x:c r="E321" s="7" t="n">
        <x:v>8</x:v>
      </x:c>
      <x:c r="F321" s="2" t="n">
        <x:v>81</x:v>
      </x:c>
      <x:c r="G321" s="2" t="n">
        <x:v>0</x:v>
      </x:c>
      <x:c r="H321" s="2" t="n">
        <x:v>53</x:v>
      </x:c>
      <x:c r="I321" s="2" t="n">
        <x:v>0</x:v>
      </x:c>
      <x:c r="J321" s="2" t="n">
        <x:v>18</x:v>
      </x:c>
      <x:c r="K321" s="2" t="n">
        <x:v>3.5</x:v>
      </x:c>
    </x:row>
    <x:row r="322" ht="21" customHeight="1">
      <x:c r="A322" s="6" t="n">
        <x:v>46015</x:v>
      </x:c>
      <x:c r="B322" s="2" t="str">
        <x:v>I03</x:v>
      </x:c>
      <x:c r="C322" s="2" t="n">
        <x:v>3</x:v>
      </x:c>
      <x:c r="D322" s="2" t="str">
        <x:v>Christmas</x:v>
      </x:c>
      <x:c r="E322" s="7" t="n">
        <x:v>7.5</x:v>
      </x:c>
      <x:c r="F322" s="2" t="n">
        <x:v>40</x:v>
      </x:c>
      <x:c r="G322" s="2" t="n">
        <x:v>0</x:v>
      </x:c>
      <x:c r="H322" s="2" t="n">
        <x:v>71</x:v>
      </x:c>
      <x:c r="I322" s="2" t="n">
        <x:v>31</x:v>
      </x:c>
      <x:c r="J322" s="2" t="n">
        <x:v>0</x:v>
      </x:c>
      <x:c r="K322" s="2" t="n">
        <x:v>0</x:v>
      </x:c>
    </x:row>
    <x:row r="323" ht="21" customHeight="1">
      <x:c r="A323" s="6" t="n">
        <x:v>46015</x:v>
      </x:c>
      <x:c r="B323" s="2" t="str">
        <x:v>I04</x:v>
      </x:c>
      <x:c r="C323" s="2" t="n">
        <x:v>3</x:v>
      </x:c>
      <x:c r="D323" s="2" t="str">
        <x:v>Christmas</x:v>
      </x:c>
      <x:c r="E323" s="7" t="n">
        <x:v>9</x:v>
      </x:c>
      <x:c r="F323" s="2" t="n">
        <x:v>47</x:v>
      </x:c>
      <x:c r="G323" s="2" t="n">
        <x:v>24</x:v>
      </x:c>
      <x:c r="H323" s="2" t="n">
        <x:v>55</x:v>
      </x:c>
      <x:c r="I323" s="2" t="n">
        <x:v>8</x:v>
      </x:c>
      <x:c r="J323" s="2" t="n">
        <x:v>0</x:v>
      </x:c>
      <x:c r="K323" s="2" t="n">
        <x:v>0</x:v>
      </x:c>
    </x:row>
    <x:row r="324" ht="21" customHeight="1">
      <x:c r="A324" s="6" t="n">
        <x:v>46015</x:v>
      </x:c>
      <x:c r="B324" s="2" t="str">
        <x:v>I05</x:v>
      </x:c>
      <x:c r="C324" s="2" t="n">
        <x:v>3</x:v>
      </x:c>
      <x:c r="D324" s="2" t="str">
        <x:v>Christmas</x:v>
      </x:c>
      <x:c r="E324" s="7" t="n">
        <x:v>3.5</x:v>
      </x:c>
      <x:c r="F324" s="2" t="n">
        <x:v>96</x:v>
      </x:c>
      <x:c r="G324" s="2" t="n">
        <x:v>14</x:v>
      </x:c>
      <x:c r="H324" s="2" t="n">
        <x:v>96</x:v>
      </x:c>
      <x:c r="I324" s="2" t="n">
        <x:v>0</x:v>
      </x:c>
      <x:c r="J324" s="2" t="n">
        <x:v>0</x:v>
      </x:c>
      <x:c r="K324" s="2" t="n">
        <x:v>0</x:v>
      </x:c>
    </x:row>
    <x:row r="325" ht="21" customHeight="1">
      <x:c r="A325" s="6" t="n">
        <x:v>46015</x:v>
      </x:c>
      <x:c r="B325" s="2" t="str">
        <x:v>I06</x:v>
      </x:c>
      <x:c r="C325" s="2" t="n">
        <x:v>3</x:v>
      </x:c>
      <x:c r="D325" s="2" t="str">
        <x:v>Christmas</x:v>
      </x:c>
      <x:c r="E325" s="7" t="n">
        <x:v>3</x:v>
      </x:c>
      <x:c r="F325" s="2" t="n">
        <x:v>36</x:v>
      </x:c>
      <x:c r="G325" s="2" t="n">
        <x:v>5</x:v>
      </x:c>
      <x:c r="H325" s="2" t="n">
        <x:v>36</x:v>
      </x:c>
      <x:c r="I325" s="2" t="n">
        <x:v>0</x:v>
      </x:c>
      <x:c r="J325" s="2" t="n">
        <x:v>0</x:v>
      </x:c>
      <x:c r="K325" s="2" t="n">
        <x:v>0</x:v>
      </x:c>
    </x:row>
    <x:row r="326" ht="21" customHeight="1">
      <x:c r="A326" s="6" t="n">
        <x:v>46016</x:v>
      </x:c>
      <x:c r="B326" s="2" t="str">
        <x:v>I01</x:v>
      </x:c>
      <x:c r="C326" s="2" t="n">
        <x:v>4</x:v>
      </x:c>
      <x:c r="D326" s="2" t="str">
        <x:v>Closed</x:v>
      </x:c>
      <x:c r="E326" s="7" t="n">
        <x:v>8.5</x:v>
      </x:c>
      <x:c r="F326" s="2" t="n">
        <x:v>0</x:v>
      </x:c>
      <x:c r="G326" s="2" t="n">
        <x:v>0</x:v>
      </x:c>
      <x:c r="H326" s="2" t="n">
        <x:v>0</x:v>
      </x:c>
      <x:c r="I326" s="2" t="n">
        <x:v>0</x:v>
      </x:c>
      <x:c r="J326" s="2" t="n">
        <x:v>0</x:v>
      </x:c>
      <x:c r="K326" s="2" t="n">
        <x:v>0</x:v>
      </x:c>
    </x:row>
    <x:row r="327" ht="21" customHeight="1">
      <x:c r="A327" s="6" t="n">
        <x:v>46016</x:v>
      </x:c>
      <x:c r="B327" s="2" t="str">
        <x:v>I02</x:v>
      </x:c>
      <x:c r="C327" s="2" t="n">
        <x:v>4</x:v>
      </x:c>
      <x:c r="D327" s="2" t="str">
        <x:v>Closed</x:v>
      </x:c>
      <x:c r="E327" s="7" t="n">
        <x:v>8</x:v>
      </x:c>
      <x:c r="F327" s="2" t="n">
        <x:v>0</x:v>
      </x:c>
      <x:c r="G327" s="2" t="n">
        <x:v>0</x:v>
      </x:c>
      <x:c r="H327" s="2" t="n">
        <x:v>0</x:v>
      </x:c>
      <x:c r="I327" s="2" t="n">
        <x:v>0</x:v>
      </x:c>
      <x:c r="J327" s="2" t="n">
        <x:v>0</x:v>
      </x:c>
      <x:c r="K327" s="2" t="n">
        <x:v>0</x:v>
      </x:c>
    </x:row>
    <x:row r="328" ht="21" customHeight="1">
      <x:c r="A328" s="6" t="n">
        <x:v>46016</x:v>
      </x:c>
      <x:c r="B328" s="2" t="str">
        <x:v>I03</x:v>
      </x:c>
      <x:c r="C328" s="2" t="n">
        <x:v>4</x:v>
      </x:c>
      <x:c r="D328" s="2" t="str">
        <x:v>Closed</x:v>
      </x:c>
      <x:c r="E328" s="7" t="n">
        <x:v>7.5</x:v>
      </x:c>
      <x:c r="F328" s="2" t="n">
        <x:v>0</x:v>
      </x:c>
      <x:c r="G328" s="2" t="n">
        <x:v>0</x:v>
      </x:c>
      <x:c r="H328" s="2" t="n">
        <x:v>0</x:v>
      </x:c>
      <x:c r="I328" s="2" t="n">
        <x:v>0</x:v>
      </x:c>
      <x:c r="J328" s="2" t="n">
        <x:v>0</x:v>
      </x:c>
      <x:c r="K328" s="2" t="n">
        <x:v>0</x:v>
      </x:c>
    </x:row>
    <x:row r="329" ht="21" customHeight="1">
      <x:c r="A329" s="6" t="n">
        <x:v>46016</x:v>
      </x:c>
      <x:c r="B329" s="2" t="str">
        <x:v>I04</x:v>
      </x:c>
      <x:c r="C329" s="2" t="n">
        <x:v>4</x:v>
      </x:c>
      <x:c r="D329" s="2" t="str">
        <x:v>Closed</x:v>
      </x:c>
      <x:c r="E329" s="7" t="n">
        <x:v>9</x:v>
      </x:c>
      <x:c r="F329" s="2" t="n">
        <x:v>0</x:v>
      </x:c>
      <x:c r="G329" s="2" t="n">
        <x:v>24</x:v>
      </x:c>
      <x:c r="H329" s="2" t="n">
        <x:v>0</x:v>
      </x:c>
      <x:c r="I329" s="2" t="n">
        <x:v>0</x:v>
      </x:c>
      <x:c r="J329" s="2" t="n">
        <x:v>0</x:v>
      </x:c>
      <x:c r="K329" s="2" t="n">
        <x:v>0</x:v>
      </x:c>
    </x:row>
    <x:row r="330" ht="21" customHeight="1">
      <x:c r="A330" s="6" t="n">
        <x:v>46016</x:v>
      </x:c>
      <x:c r="B330" s="2" t="str">
        <x:v>I05</x:v>
      </x:c>
      <x:c r="C330" s="2" t="n">
        <x:v>4</x:v>
      </x:c>
      <x:c r="D330" s="2" t="str">
        <x:v>Closed</x:v>
      </x:c>
      <x:c r="E330" s="7" t="n">
        <x:v>3.5</x:v>
      </x:c>
      <x:c r="F330" s="2" t="n">
        <x:v>0</x:v>
      </x:c>
      <x:c r="G330" s="2" t="n">
        <x:v>14</x:v>
      </x:c>
      <x:c r="H330" s="2" t="n">
        <x:v>0</x:v>
      </x:c>
      <x:c r="I330" s="2" t="n">
        <x:v>0</x:v>
      </x:c>
      <x:c r="J330" s="2" t="n">
        <x:v>0</x:v>
      </x:c>
      <x:c r="K330" s="2" t="n">
        <x:v>0</x:v>
      </x:c>
    </x:row>
    <x:row r="331" ht="21" customHeight="1">
      <x:c r="A331" s="6" t="n">
        <x:v>46016</x:v>
      </x:c>
      <x:c r="B331" s="2" t="str">
        <x:v>I06</x:v>
      </x:c>
      <x:c r="C331" s="2" t="n">
        <x:v>4</x:v>
      </x:c>
      <x:c r="D331" s="2" t="str">
        <x:v>Closed</x:v>
      </x:c>
      <x:c r="E331" s="7" t="n">
        <x:v>3</x:v>
      </x:c>
      <x:c r="F331" s="2" t="n">
        <x:v>0</x:v>
      </x:c>
      <x:c r="G331" s="2" t="n">
        <x:v>5</x:v>
      </x:c>
      <x:c r="H331" s="2" t="n">
        <x:v>0</x:v>
      </x:c>
      <x:c r="I331" s="2" t="n">
        <x:v>0</x:v>
      </x:c>
      <x:c r="J331" s="2" t="n">
        <x:v>0</x:v>
      </x:c>
      <x:c r="K331" s="2" t="n">
        <x:v>0</x:v>
      </x:c>
    </x:row>
    <x:row r="332" ht="21" customHeight="1">
      <x:c r="A332" s="6" t="n">
        <x:v>46017</x:v>
      </x:c>
      <x:c r="B332" s="2" t="str">
        <x:v>I01</x:v>
      </x:c>
      <x:c r="C332" s="2" t="n">
        <x:v>5</x:v>
      </x:c>
      <x:c r="D332" s="2" t="str">
        <x:v>Christmas</x:v>
      </x:c>
      <x:c r="E332" s="7" t="n">
        <x:v>8.5</x:v>
      </x:c>
      <x:c r="F332" s="2" t="n">
        <x:v>123</x:v>
      </x:c>
      <x:c r="G332" s="2" t="n">
        <x:v>0</x:v>
      </x:c>
      <x:c r="H332" s="2" t="n">
        <x:v>141</x:v>
      </x:c>
      <x:c r="I332" s="2" t="n">
        <x:v>0</x:v>
      </x:c>
      <x:c r="J332" s="2" t="n">
        <x:v>0</x:v>
      </x:c>
      <x:c r="K332" s="2" t="n">
        <x:v>0</x:v>
      </x:c>
    </x:row>
    <x:row r="333" ht="21" customHeight="1">
      <x:c r="A333" s="6" t="n">
        <x:v>46017</x:v>
      </x:c>
      <x:c r="B333" s="2" t="str">
        <x:v>I02</x:v>
      </x:c>
      <x:c r="C333" s="2" t="n">
        <x:v>5</x:v>
      </x:c>
      <x:c r="D333" s="2" t="str">
        <x:v>Christmas</x:v>
      </x:c>
      <x:c r="E333" s="7" t="n">
        <x:v>8</x:v>
      </x:c>
      <x:c r="F333" s="2" t="n">
        <x:v>98</x:v>
      </x:c>
      <x:c r="G333" s="2" t="n">
        <x:v>0</x:v>
      </x:c>
      <x:c r="H333" s="2" t="n">
        <x:v>113</x:v>
      </x:c>
      <x:c r="I333" s="2" t="n">
        <x:v>0</x:v>
      </x:c>
      <x:c r="J333" s="2" t="n">
        <x:v>0</x:v>
      </x:c>
      <x:c r="K333" s="2" t="n">
        <x:v>0</x:v>
      </x:c>
    </x:row>
    <x:row r="334" ht="21" customHeight="1">
      <x:c r="A334" s="6" t="n">
        <x:v>46017</x:v>
      </x:c>
      <x:c r="B334" s="2" t="str">
        <x:v>I03</x:v>
      </x:c>
      <x:c r="C334" s="2" t="n">
        <x:v>5</x:v>
      </x:c>
      <x:c r="D334" s="2" t="str">
        <x:v>Christmas</x:v>
      </x:c>
      <x:c r="E334" s="7" t="n">
        <x:v>7.5</x:v>
      </x:c>
      <x:c r="F334" s="2" t="n">
        <x:v>47</x:v>
      </x:c>
      <x:c r="G334" s="2" t="n">
        <x:v>0</x:v>
      </x:c>
      <x:c r="H334" s="2" t="n">
        <x:v>54</x:v>
      </x:c>
      <x:c r="I334" s="2" t="n">
        <x:v>0</x:v>
      </x:c>
      <x:c r="J334" s="2" t="n">
        <x:v>0</x:v>
      </x:c>
      <x:c r="K334" s="2" t="n">
        <x:v>0</x:v>
      </x:c>
    </x:row>
    <x:row r="335" ht="21" customHeight="1">
      <x:c r="A335" s="6" t="n">
        <x:v>46017</x:v>
      </x:c>
      <x:c r="B335" s="2" t="str">
        <x:v>I04</x:v>
      </x:c>
      <x:c r="C335" s="2" t="n">
        <x:v>5</x:v>
      </x:c>
      <x:c r="D335" s="2" t="str">
        <x:v>Christmas</x:v>
      </x:c>
      <x:c r="E335" s="7" t="n">
        <x:v>9</x:v>
      </x:c>
      <x:c r="F335" s="2" t="n">
        <x:v>58</x:v>
      </x:c>
      <x:c r="G335" s="2" t="n">
        <x:v>24</x:v>
      </x:c>
      <x:c r="H335" s="2" t="n">
        <x:v>43</x:v>
      </x:c>
      <x:c r="I335" s="2" t="n">
        <x:v>0</x:v>
      </x:c>
      <x:c r="J335" s="2" t="n">
        <x:v>0</x:v>
      </x:c>
      <x:c r="K335" s="2" t="n">
        <x:v>0</x:v>
      </x:c>
    </x:row>
    <x:row r="336" ht="21" customHeight="1">
      <x:c r="A336" s="6" t="n">
        <x:v>46017</x:v>
      </x:c>
      <x:c r="B336" s="2" t="str">
        <x:v>I05</x:v>
      </x:c>
      <x:c r="C336" s="2" t="n">
        <x:v>5</x:v>
      </x:c>
      <x:c r="D336" s="2" t="str">
        <x:v>Christmas</x:v>
      </x:c>
      <x:c r="E336" s="7" t="n">
        <x:v>3.5</x:v>
      </x:c>
      <x:c r="F336" s="2" t="n">
        <x:v>114</x:v>
      </x:c>
      <x:c r="G336" s="2" t="n">
        <x:v>14</x:v>
      </x:c>
      <x:c r="H336" s="2" t="n">
        <x:v>117</x:v>
      </x:c>
      <x:c r="I336" s="2" t="n">
        <x:v>0</x:v>
      </x:c>
      <x:c r="J336" s="2" t="n">
        <x:v>0</x:v>
      </x:c>
      <x:c r="K336" s="2" t="n">
        <x:v>0</x:v>
      </x:c>
    </x:row>
    <x:row r="337" ht="21" customHeight="1">
      <x:c r="A337" s="6" t="n">
        <x:v>46017</x:v>
      </x:c>
      <x:c r="B337" s="2" t="str">
        <x:v>I06</x:v>
      </x:c>
      <x:c r="C337" s="2" t="n">
        <x:v>5</x:v>
      </x:c>
      <x:c r="D337" s="2" t="str">
        <x:v>Christmas</x:v>
      </x:c>
      <x:c r="E337" s="7" t="n">
        <x:v>3</x:v>
      </x:c>
      <x:c r="F337" s="2" t="n">
        <x:v>46</x:v>
      </x:c>
      <x:c r="G337" s="2" t="n">
        <x:v>5</x:v>
      </x:c>
      <x:c r="H337" s="2" t="n">
        <x:v>48</x:v>
      </x:c>
      <x:c r="I337" s="2" t="n">
        <x:v>0</x:v>
      </x:c>
      <x:c r="J337" s="2" t="n">
        <x:v>0</x:v>
      </x:c>
      <x:c r="K337" s="2" t="n">
        <x:v>0</x:v>
      </x:c>
    </x:row>
    <x:row r="338" ht="21" customHeight="1">
      <x:c r="A338" s="6" t="n">
        <x:v>46018</x:v>
      </x:c>
      <x:c r="B338" s="2" t="str">
        <x:v>I01</x:v>
      </x:c>
      <x:c r="C338" s="2" t="n">
        <x:v>6</x:v>
      </x:c>
      <x:c r="D338" s="2" t="str">
        <x:v>December normal</x:v>
      </x:c>
      <x:c r="E338" s="7" t="n">
        <x:v>8.5</x:v>
      </x:c>
      <x:c r="F338" s="2" t="n">
        <x:v>97</x:v>
      </x:c>
      <x:c r="G338" s="2" t="n">
        <x:v>18</x:v>
      </x:c>
      <x:c r="H338" s="2" t="n">
        <x:v>94</x:v>
      </x:c>
      <x:c r="I338" s="2" t="n">
        <x:v>0</x:v>
      </x:c>
      <x:c r="J338" s="2" t="n">
        <x:v>0</x:v>
      </x:c>
      <x:c r="K338" s="2" t="n">
        <x:v>0</x:v>
      </x:c>
    </x:row>
    <x:row r="339" ht="21" customHeight="1">
      <x:c r="A339" s="6" t="n">
        <x:v>46018</x:v>
      </x:c>
      <x:c r="B339" s="2" t="str">
        <x:v>I02</x:v>
      </x:c>
      <x:c r="C339" s="2" t="n">
        <x:v>6</x:v>
      </x:c>
      <x:c r="D339" s="2" t="str">
        <x:v>December normal</x:v>
      </x:c>
      <x:c r="E339" s="7" t="n">
        <x:v>8</x:v>
      </x:c>
      <x:c r="F339" s="2" t="n">
        <x:v>79</x:v>
      </x:c>
      <x:c r="G339" s="2" t="n">
        <x:v>15</x:v>
      </x:c>
      <x:c r="H339" s="2" t="n">
        <x:v>76</x:v>
      </x:c>
      <x:c r="I339" s="2" t="n">
        <x:v>0</x:v>
      </x:c>
      <x:c r="J339" s="2" t="n">
        <x:v>0</x:v>
      </x:c>
      <x:c r="K339" s="2" t="n">
        <x:v>0</x:v>
      </x:c>
    </x:row>
    <x:row r="340" ht="21" customHeight="1">
      <x:c r="A340" s="6" t="n">
        <x:v>46018</x:v>
      </x:c>
      <x:c r="B340" s="2" t="str">
        <x:v>I03</x:v>
      </x:c>
      <x:c r="C340" s="2" t="n">
        <x:v>6</x:v>
      </x:c>
      <x:c r="D340" s="2" t="str">
        <x:v>December normal</x:v>
      </x:c>
      <x:c r="E340" s="7" t="n">
        <x:v>7.5</x:v>
      </x:c>
      <x:c r="F340" s="2" t="n">
        <x:v>45</x:v>
      </x:c>
      <x:c r="G340" s="2" t="n">
        <x:v>7</x:v>
      </x:c>
      <x:c r="H340" s="2" t="n">
        <x:v>45</x:v>
      </x:c>
      <x:c r="I340" s="2" t="n">
        <x:v>0</x:v>
      </x:c>
      <x:c r="J340" s="2" t="n">
        <x:v>0</x:v>
      </x:c>
      <x:c r="K340" s="2" t="n">
        <x:v>0</x:v>
      </x:c>
    </x:row>
    <x:row r="341" ht="21" customHeight="1">
      <x:c r="A341" s="6" t="n">
        <x:v>46018</x:v>
      </x:c>
      <x:c r="B341" s="2" t="str">
        <x:v>I04</x:v>
      </x:c>
      <x:c r="C341" s="2" t="n">
        <x:v>6</x:v>
      </x:c>
      <x:c r="D341" s="2" t="str">
        <x:v>December normal</x:v>
      </x:c>
      <x:c r="E341" s="7" t="n">
        <x:v>9</x:v>
      </x:c>
      <x:c r="F341" s="2" t="n">
        <x:v>55</x:v>
      </x:c>
      <x:c r="G341" s="2" t="n">
        <x:v>9</x:v>
      </x:c>
      <x:c r="H341" s="2" t="n">
        <x:v>54</x:v>
      </x:c>
      <x:c r="I341" s="2" t="n">
        <x:v>0</x:v>
      </x:c>
      <x:c r="J341" s="2" t="n">
        <x:v>0</x:v>
      </x:c>
      <x:c r="K341" s="2" t="n">
        <x:v>0</x:v>
      </x:c>
    </x:row>
    <x:row r="342" ht="21" customHeight="1">
      <x:c r="A342" s="6" t="n">
        <x:v>46018</x:v>
      </x:c>
      <x:c r="B342" s="2" t="str">
        <x:v>I05</x:v>
      </x:c>
      <x:c r="C342" s="2" t="n">
        <x:v>6</x:v>
      </x:c>
      <x:c r="D342" s="2" t="str">
        <x:v>December normal</x:v>
      </x:c>
      <x:c r="E342" s="7" t="n">
        <x:v>3.5</x:v>
      </x:c>
      <x:c r="F342" s="2" t="n">
        <x:v>113</x:v>
      </x:c>
      <x:c r="G342" s="2" t="n">
        <x:v>17</x:v>
      </x:c>
      <x:c r="H342" s="2" t="n">
        <x:v>113</x:v>
      </x:c>
      <x:c r="I342" s="2" t="n">
        <x:v>0</x:v>
      </x:c>
      <x:c r="J342" s="2" t="n">
        <x:v>0</x:v>
      </x:c>
      <x:c r="K342" s="2" t="n">
        <x:v>0</x:v>
      </x:c>
    </x:row>
    <x:row r="343" ht="21" customHeight="1">
      <x:c r="A343" s="6" t="n">
        <x:v>46018</x:v>
      </x:c>
      <x:c r="B343" s="2" t="str">
        <x:v>I06</x:v>
      </x:c>
      <x:c r="C343" s="2" t="n">
        <x:v>6</x:v>
      </x:c>
      <x:c r="D343" s="2" t="str">
        <x:v>December normal</x:v>
      </x:c>
      <x:c r="E343" s="7" t="n">
        <x:v>3</x:v>
      </x:c>
      <x:c r="F343" s="2" t="n">
        <x:v>42</x:v>
      </x:c>
      <x:c r="G343" s="2" t="n">
        <x:v>7</x:v>
      </x:c>
      <x:c r="H343" s="2" t="n">
        <x:v>41</x:v>
      </x:c>
      <x:c r="I343" s="2" t="n">
        <x:v>0</x:v>
      </x:c>
      <x:c r="J343" s="2" t="n">
        <x:v>0</x:v>
      </x:c>
      <x:c r="K343" s="2" t="n">
        <x:v>0</x:v>
      </x:c>
    </x:row>
    <x:row r="344" ht="21" customHeight="1">
      <x:c r="A344" s="6" t="n">
        <x:v>46019</x:v>
      </x:c>
      <x:c r="B344" s="2" t="str">
        <x:v>I01</x:v>
      </x:c>
      <x:c r="C344" s="2" t="n">
        <x:v>7</x:v>
      </x:c>
      <x:c r="D344" s="2" t="str">
        <x:v>December normal</x:v>
      </x:c>
      <x:c r="E344" s="7" t="n">
        <x:v>8.5</x:v>
      </x:c>
      <x:c r="F344" s="2" t="n">
        <x:v>82</x:v>
      </x:c>
      <x:c r="G344" s="2" t="n">
        <x:v>15</x:v>
      </x:c>
      <x:c r="H344" s="2" t="n">
        <x:v>79</x:v>
      </x:c>
      <x:c r="I344" s="2" t="n">
        <x:v>0</x:v>
      </x:c>
      <x:c r="J344" s="2" t="n">
        <x:v>0</x:v>
      </x:c>
      <x:c r="K344" s="2" t="n">
        <x:v>0</x:v>
      </x:c>
    </x:row>
    <x:row r="345" ht="21" customHeight="1">
      <x:c r="A345" s="6" t="n">
        <x:v>46019</x:v>
      </x:c>
      <x:c r="B345" s="2" t="str">
        <x:v>I02</x:v>
      </x:c>
      <x:c r="C345" s="2" t="n">
        <x:v>7</x:v>
      </x:c>
      <x:c r="D345" s="2" t="str">
        <x:v>December normal</x:v>
      </x:c>
      <x:c r="E345" s="7" t="n">
        <x:v>8</x:v>
      </x:c>
      <x:c r="F345" s="2" t="n">
        <x:v>70</x:v>
      </x:c>
      <x:c r="G345" s="2" t="n">
        <x:v>12</x:v>
      </x:c>
      <x:c r="H345" s="2" t="n">
        <x:v>69</x:v>
      </x:c>
      <x:c r="I345" s="2" t="n">
        <x:v>0</x:v>
      </x:c>
      <x:c r="J345" s="2" t="n">
        <x:v>0</x:v>
      </x:c>
      <x:c r="K345" s="2" t="n">
        <x:v>0</x:v>
      </x:c>
    </x:row>
    <x:row r="346" ht="21" customHeight="1">
      <x:c r="A346" s="6" t="n">
        <x:v>46019</x:v>
      </x:c>
      <x:c r="B346" s="2" t="str">
        <x:v>I03</x:v>
      </x:c>
      <x:c r="C346" s="2" t="n">
        <x:v>7</x:v>
      </x:c>
      <x:c r="D346" s="2" t="str">
        <x:v>December normal</x:v>
      </x:c>
      <x:c r="E346" s="7" t="n">
        <x:v>7.5</x:v>
      </x:c>
      <x:c r="F346" s="2" t="n">
        <x:v>39</x:v>
      </x:c>
      <x:c r="G346" s="2" t="n">
        <x:v>7</x:v>
      </x:c>
      <x:c r="H346" s="2" t="n">
        <x:v>38</x:v>
      </x:c>
      <x:c r="I346" s="2" t="n">
        <x:v>0</x:v>
      </x:c>
      <x:c r="J346" s="2" t="n">
        <x:v>0</x:v>
      </x:c>
      <x:c r="K346" s="2" t="n">
        <x:v>0</x:v>
      </x:c>
    </x:row>
    <x:row r="347" ht="21" customHeight="1">
      <x:c r="A347" s="6" t="n">
        <x:v>46019</x:v>
      </x:c>
      <x:c r="B347" s="2" t="str">
        <x:v>I04</x:v>
      </x:c>
      <x:c r="C347" s="2" t="n">
        <x:v>7</x:v>
      </x:c>
      <x:c r="D347" s="2" t="str">
        <x:v>December normal</x:v>
      </x:c>
      <x:c r="E347" s="7" t="n">
        <x:v>9</x:v>
      </x:c>
      <x:c r="F347" s="2" t="n">
        <x:v>44</x:v>
      </x:c>
      <x:c r="G347" s="2" t="n">
        <x:v>8</x:v>
      </x:c>
      <x:c r="H347" s="2" t="n">
        <x:v>43</x:v>
      </x:c>
      <x:c r="I347" s="2" t="n">
        <x:v>0</x:v>
      </x:c>
      <x:c r="J347" s="2" t="n">
        <x:v>0</x:v>
      </x:c>
      <x:c r="K347" s="2" t="n">
        <x:v>0</x:v>
      </x:c>
    </x:row>
    <x:row r="348" ht="21" customHeight="1">
      <x:c r="A348" s="6" t="n">
        <x:v>46019</x:v>
      </x:c>
      <x:c r="B348" s="2" t="str">
        <x:v>I05</x:v>
      </x:c>
      <x:c r="C348" s="2" t="n">
        <x:v>7</x:v>
      </x:c>
      <x:c r="D348" s="2" t="str">
        <x:v>December normal</x:v>
      </x:c>
      <x:c r="E348" s="7" t="n">
        <x:v>3.5</x:v>
      </x:c>
      <x:c r="F348" s="2" t="n">
        <x:v>97</x:v>
      </x:c>
      <x:c r="G348" s="2" t="n">
        <x:v>17</x:v>
      </x:c>
      <x:c r="H348" s="2" t="n">
        <x:v>95</x:v>
      </x:c>
      <x:c r="I348" s="2" t="n">
        <x:v>0</x:v>
      </x:c>
      <x:c r="J348" s="2" t="n">
        <x:v>0</x:v>
      </x:c>
      <x:c r="K348" s="2" t="n">
        <x:v>0</x:v>
      </x:c>
    </x:row>
    <x:row r="349" ht="21" customHeight="1">
      <x:c r="A349" s="6" t="n">
        <x:v>46019</x:v>
      </x:c>
      <x:c r="B349" s="2" t="str">
        <x:v>I06</x:v>
      </x:c>
      <x:c r="C349" s="2" t="n">
        <x:v>7</x:v>
      </x:c>
      <x:c r="D349" s="2" t="str">
        <x:v>December normal</x:v>
      </x:c>
      <x:c r="E349" s="7" t="n">
        <x:v>3</x:v>
      </x:c>
      <x:c r="F349" s="2" t="n">
        <x:v>35</x:v>
      </x:c>
      <x:c r="G349" s="2" t="n">
        <x:v>6</x:v>
      </x:c>
      <x:c r="H349" s="2" t="n">
        <x:v>34</x:v>
      </x:c>
      <x:c r="I349" s="2" t="n">
        <x:v>0</x:v>
      </x:c>
      <x:c r="J349" s="2" t="n">
        <x:v>0</x:v>
      </x:c>
      <x:c r="K349" s="2" t="n">
        <x:v>0</x:v>
      </x:c>
    </x:row>
    <x:row r="350" ht="21" customHeight="1">
      <x:c r="A350" s="6" t="n">
        <x:v>46020</x:v>
      </x:c>
      <x:c r="B350" s="2" t="str">
        <x:v>I01</x:v>
      </x:c>
      <x:c r="C350" s="2" t="n">
        <x:v>1</x:v>
      </x:c>
      <x:c r="D350" s="2" t="str">
        <x:v>December normal</x:v>
      </x:c>
      <x:c r="E350" s="7" t="n">
        <x:v>8.5</x:v>
      </x:c>
      <x:c r="F350" s="2" t="n">
        <x:v>63</x:v>
      </x:c>
      <x:c r="G350" s="2" t="n">
        <x:v>12</x:v>
      </x:c>
      <x:c r="H350" s="2" t="n">
        <x:v>60</x:v>
      </x:c>
      <x:c r="I350" s="2" t="n">
        <x:v>0</x:v>
      </x:c>
      <x:c r="J350" s="2" t="n">
        <x:v>0</x:v>
      </x:c>
      <x:c r="K350" s="2" t="n">
        <x:v>0</x:v>
      </x:c>
    </x:row>
    <x:row r="351" ht="21" customHeight="1">
      <x:c r="A351" s="6" t="n">
        <x:v>46020</x:v>
      </x:c>
      <x:c r="B351" s="2" t="str">
        <x:v>I02</x:v>
      </x:c>
      <x:c r="C351" s="2" t="n">
        <x:v>1</x:v>
      </x:c>
      <x:c r="D351" s="2" t="str">
        <x:v>December normal</x:v>
      </x:c>
      <x:c r="E351" s="7" t="n">
        <x:v>8</x:v>
      </x:c>
      <x:c r="F351" s="2" t="n">
        <x:v>52</x:v>
      </x:c>
      <x:c r="G351" s="2" t="n">
        <x:v>11</x:v>
      </x:c>
      <x:c r="H351" s="2" t="n">
        <x:v>49</x:v>
      </x:c>
      <x:c r="I351" s="2" t="n">
        <x:v>0</x:v>
      </x:c>
      <x:c r="J351" s="2" t="n">
        <x:v>0</x:v>
      </x:c>
      <x:c r="K351" s="2" t="n">
        <x:v>0</x:v>
      </x:c>
    </x:row>
    <x:row r="352" ht="21" customHeight="1">
      <x:c r="A352" s="6" t="n">
        <x:v>46020</x:v>
      </x:c>
      <x:c r="B352" s="2" t="str">
        <x:v>I03</x:v>
      </x:c>
      <x:c r="C352" s="2" t="n">
        <x:v>1</x:v>
      </x:c>
      <x:c r="D352" s="2" t="str">
        <x:v>December normal</x:v>
      </x:c>
      <x:c r="E352" s="7" t="n">
        <x:v>7.5</x:v>
      </x:c>
      <x:c r="F352" s="2" t="n">
        <x:v>31</x:v>
      </x:c>
      <x:c r="G352" s="2" t="n">
        <x:v>6</x:v>
      </x:c>
      <x:c r="H352" s="2" t="n">
        <x:v>30</x:v>
      </x:c>
      <x:c r="I352" s="2" t="n">
        <x:v>0</x:v>
      </x:c>
      <x:c r="J352" s="2" t="n">
        <x:v>0</x:v>
      </x:c>
      <x:c r="K352" s="2" t="n">
        <x:v>0</x:v>
      </x:c>
    </x:row>
    <x:row r="353" ht="21" customHeight="1">
      <x:c r="A353" s="6" t="n">
        <x:v>46020</x:v>
      </x:c>
      <x:c r="B353" s="2" t="str">
        <x:v>I04</x:v>
      </x:c>
      <x:c r="C353" s="2" t="n">
        <x:v>1</x:v>
      </x:c>
      <x:c r="D353" s="2" t="str">
        <x:v>December normal</x:v>
      </x:c>
      <x:c r="E353" s="7" t="n">
        <x:v>9</x:v>
      </x:c>
      <x:c r="F353" s="2" t="n">
        <x:v>33</x:v>
      </x:c>
      <x:c r="G353" s="2" t="n">
        <x:v>7</x:v>
      </x:c>
      <x:c r="H353" s="2" t="n">
        <x:v>31</x:v>
      </x:c>
      <x:c r="I353" s="2" t="n">
        <x:v>0</x:v>
      </x:c>
      <x:c r="J353" s="2" t="n">
        <x:v>0</x:v>
      </x:c>
      <x:c r="K353" s="2" t="n">
        <x:v>0</x:v>
      </x:c>
    </x:row>
    <x:row r="354" ht="21" customHeight="1">
      <x:c r="A354" s="6" t="n">
        <x:v>46020</x:v>
      </x:c>
      <x:c r="B354" s="2" t="str">
        <x:v>I05</x:v>
      </x:c>
      <x:c r="C354" s="2" t="n">
        <x:v>1</x:v>
      </x:c>
      <x:c r="D354" s="2" t="str">
        <x:v>December normal</x:v>
      </x:c>
      <x:c r="E354" s="7" t="n">
        <x:v>3.5</x:v>
      </x:c>
      <x:c r="F354" s="2" t="n">
        <x:v>71</x:v>
      </x:c>
      <x:c r="G354" s="2" t="n">
        <x:v>15</x:v>
      </x:c>
      <x:c r="H354" s="2" t="n">
        <x:v>67</x:v>
      </x:c>
      <x:c r="I354" s="2" t="n">
        <x:v>0</x:v>
      </x:c>
      <x:c r="J354" s="2" t="n">
        <x:v>0</x:v>
      </x:c>
      <x:c r="K354" s="2" t="n">
        <x:v>0</x:v>
      </x:c>
    </x:row>
    <x:row r="355" ht="21" customHeight="1">
      <x:c r="A355" s="6" t="n">
        <x:v>46020</x:v>
      </x:c>
      <x:c r="B355" s="2" t="str">
        <x:v>I06</x:v>
      </x:c>
      <x:c r="C355" s="2" t="n">
        <x:v>1</x:v>
      </x:c>
      <x:c r="D355" s="2" t="str">
        <x:v>December normal</x:v>
      </x:c>
      <x:c r="E355" s="7" t="n">
        <x:v>3</x:v>
      </x:c>
      <x:c r="F355" s="2" t="n">
        <x:v>29</x:v>
      </x:c>
      <x:c r="G355" s="2" t="n">
        <x:v>5</x:v>
      </x:c>
      <x:c r="H355" s="2" t="n">
        <x:v>28</x:v>
      </x:c>
      <x:c r="I355" s="2" t="n">
        <x:v>0</x:v>
      </x:c>
      <x:c r="J355" s="2" t="n">
        <x:v>0</x:v>
      </x:c>
      <x:c r="K355" s="2" t="n">
        <x:v>0</x:v>
      </x:c>
    </x:row>
    <x:row r="356" ht="21" customHeight="1">
      <x:c r="A356" s="6" t="n">
        <x:v>46021</x:v>
      </x:c>
      <x:c r="B356" s="2" t="str">
        <x:v>I01</x:v>
      </x:c>
      <x:c r="C356" s="2" t="n">
        <x:v>2</x:v>
      </x:c>
      <x:c r="D356" s="2" t="str">
        <x:v>December normal</x:v>
      </x:c>
      <x:c r="E356" s="7" t="n">
        <x:v>8.5</x:v>
      </x:c>
      <x:c r="F356" s="2" t="n">
        <x:v>66</x:v>
      </x:c>
      <x:c r="G356" s="2" t="n">
        <x:v>9</x:v>
      </x:c>
      <x:c r="H356" s="2" t="n">
        <x:v>67</x:v>
      </x:c>
      <x:c r="I356" s="2" t="n">
        <x:v>0</x:v>
      </x:c>
      <x:c r="J356" s="2" t="n">
        <x:v>0</x:v>
      </x:c>
      <x:c r="K356" s="2" t="n">
        <x:v>0</x:v>
      </x:c>
    </x:row>
    <x:row r="357" ht="21" customHeight="1">
      <x:c r="A357" s="6" t="n">
        <x:v>46021</x:v>
      </x:c>
      <x:c r="B357" s="2" t="str">
        <x:v>I02</x:v>
      </x:c>
      <x:c r="C357" s="2" t="n">
        <x:v>2</x:v>
      </x:c>
      <x:c r="D357" s="2" t="str">
        <x:v>December normal</x:v>
      </x:c>
      <x:c r="E357" s="7" t="n">
        <x:v>8</x:v>
      </x:c>
      <x:c r="F357" s="2" t="n">
        <x:v>56</x:v>
      </x:c>
      <x:c r="G357" s="2" t="n">
        <x:v>8</x:v>
      </x:c>
      <x:c r="H357" s="2" t="n">
        <x:v>56</x:v>
      </x:c>
      <x:c r="I357" s="2" t="n">
        <x:v>0</x:v>
      </x:c>
      <x:c r="J357" s="2" t="n">
        <x:v>0</x:v>
      </x:c>
      <x:c r="K357" s="2" t="n">
        <x:v>0</x:v>
      </x:c>
    </x:row>
    <x:row r="358" ht="21" customHeight="1">
      <x:c r="A358" s="6" t="n">
        <x:v>46021</x:v>
      </x:c>
      <x:c r="B358" s="2" t="str">
        <x:v>I03</x:v>
      </x:c>
      <x:c r="C358" s="2" t="n">
        <x:v>2</x:v>
      </x:c>
      <x:c r="D358" s="2" t="str">
        <x:v>December normal</x:v>
      </x:c>
      <x:c r="E358" s="7" t="n">
        <x:v>7.5</x:v>
      </x:c>
      <x:c r="F358" s="2" t="n">
        <x:v>31</x:v>
      </x:c>
      <x:c r="G358" s="2" t="n">
        <x:v>5</x:v>
      </x:c>
      <x:c r="H358" s="2" t="n">
        <x:v>31</x:v>
      </x:c>
      <x:c r="I358" s="2" t="n">
        <x:v>0</x:v>
      </x:c>
      <x:c r="J358" s="2" t="n">
        <x:v>0</x:v>
      </x:c>
      <x:c r="K358" s="2" t="n">
        <x:v>0</x:v>
      </x:c>
    </x:row>
    <x:row r="359" ht="21" customHeight="1">
      <x:c r="A359" s="6" t="n">
        <x:v>46021</x:v>
      </x:c>
      <x:c r="B359" s="2" t="str">
        <x:v>I04</x:v>
      </x:c>
      <x:c r="C359" s="2" t="n">
        <x:v>2</x:v>
      </x:c>
      <x:c r="D359" s="2" t="str">
        <x:v>December normal</x:v>
      </x:c>
      <x:c r="E359" s="7" t="n">
        <x:v>9</x:v>
      </x:c>
      <x:c r="F359" s="2" t="n">
        <x:v>38</x:v>
      </x:c>
      <x:c r="G359" s="2" t="n">
        <x:v>5</x:v>
      </x:c>
      <x:c r="H359" s="2" t="n">
        <x:v>39</x:v>
      </x:c>
      <x:c r="I359" s="2" t="n">
        <x:v>0</x:v>
      </x:c>
      <x:c r="J359" s="2" t="n">
        <x:v>0</x:v>
      </x:c>
      <x:c r="K359" s="2" t="n">
        <x:v>0</x:v>
      </x:c>
    </x:row>
    <x:row r="360" ht="21" customHeight="1">
      <x:c r="A360" s="6" t="n">
        <x:v>46021</x:v>
      </x:c>
      <x:c r="B360" s="2" t="str">
        <x:v>I05</x:v>
      </x:c>
      <x:c r="C360" s="2" t="n">
        <x:v>2</x:v>
      </x:c>
      <x:c r="D360" s="2" t="str">
        <x:v>December normal</x:v>
      </x:c>
      <x:c r="E360" s="7" t="n">
        <x:v>3.5</x:v>
      </x:c>
      <x:c r="F360" s="2" t="n">
        <x:v>79</x:v>
      </x:c>
      <x:c r="G360" s="2" t="n">
        <x:v>11</x:v>
      </x:c>
      <x:c r="H360" s="2" t="n">
        <x:v>80</x:v>
      </x:c>
      <x:c r="I360" s="2" t="n">
        <x:v>0</x:v>
      </x:c>
      <x:c r="J360" s="2" t="n">
        <x:v>0</x:v>
      </x:c>
      <x:c r="K360" s="2" t="n">
        <x:v>0</x:v>
      </x:c>
    </x:row>
    <x:row r="361" ht="21" customHeight="1">
      <x:c r="A361" s="6" t="n">
        <x:v>46021</x:v>
      </x:c>
      <x:c r="B361" s="2" t="str">
        <x:v>I06</x:v>
      </x:c>
      <x:c r="C361" s="2" t="n">
        <x:v>2</x:v>
      </x:c>
      <x:c r="D361" s="2" t="str">
        <x:v>December normal</x:v>
      </x:c>
      <x:c r="E361" s="7" t="n">
        <x:v>3</x:v>
      </x:c>
      <x:c r="F361" s="2" t="n">
        <x:v>28</x:v>
      </x:c>
      <x:c r="G361" s="2" t="n">
        <x:v>4</x:v>
      </x:c>
      <x:c r="H361" s="2" t="n">
        <x:v>28</x:v>
      </x:c>
      <x:c r="I361" s="2" t="n">
        <x:v>0</x:v>
      </x:c>
      <x:c r="J361" s="2" t="n">
        <x:v>0</x:v>
      </x:c>
      <x:c r="K361" s="2" t="n">
        <x:v>0</x:v>
      </x:c>
    </x:row>
    <x:row r="362" ht="21" customHeight="1">
      <x:c r="A362" s="6" t="n">
        <x:v>46022</x:v>
      </x:c>
      <x:c r="B362" s="2" t="str">
        <x:v>I01</x:v>
      </x:c>
      <x:c r="C362" s="2" t="n">
        <x:v>3</x:v>
      </x:c>
      <x:c r="D362" s="2" t="str">
        <x:v>December normal</x:v>
      </x:c>
      <x:c r="E362" s="7" t="n">
        <x:v>8.5</x:v>
      </x:c>
      <x:c r="F362" s="2" t="n">
        <x:v>71</x:v>
      </x:c>
      <x:c r="G362" s="2" t="n">
        <x:v>10</x:v>
      </x:c>
      <x:c r="H362" s="2" t="n">
        <x:v>72</x:v>
      </x:c>
      <x:c r="I362" s="2" t="n">
        <x:v>0</x:v>
      </x:c>
      <x:c r="J362" s="2" t="n">
        <x:v>0</x:v>
      </x:c>
      <x:c r="K362" s="2" t="n">
        <x:v>0</x:v>
      </x:c>
    </x:row>
    <x:row r="363" ht="21" customHeight="1">
      <x:c r="A363" s="6" t="n">
        <x:v>46022</x:v>
      </x:c>
      <x:c r="B363" s="2" t="str">
        <x:v>I02</x:v>
      </x:c>
      <x:c r="C363" s="2" t="n">
        <x:v>3</x:v>
      </x:c>
      <x:c r="D363" s="2" t="str">
        <x:v>December normal</x:v>
      </x:c>
      <x:c r="E363" s="7" t="n">
        <x:v>8</x:v>
      </x:c>
      <x:c r="F363" s="2" t="n">
        <x:v>55</x:v>
      </x:c>
      <x:c r="G363" s="2" t="n">
        <x:v>8</x:v>
      </x:c>
      <x:c r="H363" s="2" t="n">
        <x:v>55</x:v>
      </x:c>
      <x:c r="I363" s="2" t="n">
        <x:v>0</x:v>
      </x:c>
      <x:c r="J363" s="2" t="n">
        <x:v>0</x:v>
      </x:c>
      <x:c r="K363" s="2" t="n">
        <x:v>0</x:v>
      </x:c>
    </x:row>
    <x:row r="364" ht="21" customHeight="1">
      <x:c r="A364" s="6" t="n">
        <x:v>46022</x:v>
      </x:c>
      <x:c r="B364" s="2" t="str">
        <x:v>I03</x:v>
      </x:c>
      <x:c r="C364" s="2" t="n">
        <x:v>3</x:v>
      </x:c>
      <x:c r="D364" s="2" t="str">
        <x:v>December normal</x:v>
      </x:c>
      <x:c r="E364" s="7" t="n">
        <x:v>7.5</x:v>
      </x:c>
      <x:c r="F364" s="2" t="n">
        <x:v>34</x:v>
      </x:c>
      <x:c r="G364" s="2" t="n">
        <x:v>5</x:v>
      </x:c>
      <x:c r="H364" s="2" t="n">
        <x:v>34</x:v>
      </x:c>
      <x:c r="I364" s="2" t="n">
        <x:v>0</x:v>
      </x:c>
      <x:c r="J364" s="2" t="n">
        <x:v>0</x:v>
      </x:c>
      <x:c r="K364" s="2" t="n">
        <x:v>0</x:v>
      </x:c>
    </x:row>
    <x:row r="365" ht="21" customHeight="1">
      <x:c r="A365" s="6" t="n">
        <x:v>46022</x:v>
      </x:c>
      <x:c r="B365" s="2" t="str">
        <x:v>I04</x:v>
      </x:c>
      <x:c r="C365" s="2" t="n">
        <x:v>3</x:v>
      </x:c>
      <x:c r="D365" s="2" t="str">
        <x:v>December normal</x:v>
      </x:c>
      <x:c r="E365" s="7" t="n">
        <x:v>9</x:v>
      </x:c>
      <x:c r="F365" s="2" t="n">
        <x:v>37</x:v>
      </x:c>
      <x:c r="G365" s="2" t="n">
        <x:v>6</x:v>
      </x:c>
      <x:c r="H365" s="2" t="n">
        <x:v>37</x:v>
      </x:c>
      <x:c r="I365" s="2" t="n">
        <x:v>0</x:v>
      </x:c>
      <x:c r="J365" s="2" t="n">
        <x:v>0</x:v>
      </x:c>
      <x:c r="K365" s="2" t="n">
        <x:v>0</x:v>
      </x:c>
    </x:row>
    <x:row r="366" ht="21" customHeight="1">
      <x:c r="A366" s="6" t="n">
        <x:v>46022</x:v>
      </x:c>
      <x:c r="B366" s="2" t="str">
        <x:v>I05</x:v>
      </x:c>
      <x:c r="C366" s="2" t="n">
        <x:v>3</x:v>
      </x:c>
      <x:c r="D366" s="2" t="str">
        <x:v>December normal</x:v>
      </x:c>
      <x:c r="E366" s="7" t="n">
        <x:v>3.5</x:v>
      </x:c>
      <x:c r="F366" s="2" t="n">
        <x:v>84</x:v>
      </x:c>
      <x:c r="G366" s="2" t="n">
        <x:v>12</x:v>
      </x:c>
      <x:c r="H366" s="2" t="n">
        <x:v>85</x:v>
      </x:c>
      <x:c r="I366" s="2" t="n">
        <x:v>0</x:v>
      </x:c>
      <x:c r="J366" s="2" t="n">
        <x:v>0</x:v>
      </x:c>
      <x:c r="K366" s="2" t="n">
        <x:v>0</x:v>
      </x:c>
    </x:row>
    <x:row r="367" ht="21" customHeight="1">
      <x:c r="A367" s="6" t="n">
        <x:v>46022</x:v>
      </x:c>
      <x:c r="B367" s="2" t="str">
        <x:v>I06</x:v>
      </x:c>
      <x:c r="C367" s="2" t="n">
        <x:v>3</x:v>
      </x:c>
      <x:c r="D367" s="2" t="str">
        <x:v>December normal</x:v>
      </x:c>
      <x:c r="E367" s="7" t="n">
        <x:v>3</x:v>
      </x:c>
      <x:c r="F367" s="2" t="n">
        <x:v>30</x:v>
      </x:c>
      <x:c r="G367" s="2" t="n">
        <x:v>4</x:v>
      </x:c>
      <x:c r="H367" s="2" t="n">
        <x:v>31</x:v>
      </x:c>
      <x:c r="I367" s="2" t="n">
        <x:v>0</x:v>
      </x:c>
      <x:c r="J367" s="2" t="n">
        <x:v>0</x:v>
      </x:c>
      <x:c r="K367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c28ca23e6145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8" customHeight="1">
      <x:c r="A1" s="5" t="str">
        <x:v>ItemID</x:v>
      </x:c>
      <x:c r="B1" s="5" t="str">
        <x:v>ItemName</x:v>
      </x:c>
      <x:c r="C1" s="5" t="str">
        <x:v>Category</x:v>
      </x:c>
      <x:c r="D1" s="5" t="str">
        <x:v>PriceGBP</x:v>
      </x:c>
      <x:c r="E1" s="5" t="str">
        <x:v>BaseDailyUnits</x:v>
      </x:c>
    </x:row>
    <x:row r="2" ht="21" customHeight="1">
      <x:c r="A2" s="2" t="str">
        <x:v>I01</x:v>
      </x:c>
      <x:c r="B2" s="2" t="str">
        <x:v>Crispy bites box</x:v>
      </x:c>
      <x:c r="C2" s="2" t="str">
        <x:v>Core</x:v>
      </x:c>
      <x:c r="D2" s="7" t="n">
        <x:v>8.5</x:v>
      </x:c>
      <x:c r="E2" s="2" t="n">
        <x:v>72</x:v>
      </x:c>
    </x:row>
    <x:row r="3" ht="21" customHeight="1">
      <x:c r="A3" s="2" t="str">
        <x:v>I02</x:v>
      </x:c>
      <x:c r="B3" s="2" t="str">
        <x:v>Grilled fillet wrap</x:v>
      </x:c>
      <x:c r="C3" s="2" t="str">
        <x:v>Core</x:v>
      </x:c>
      <x:c r="D3" s="7" t="n">
        <x:v>8</x:v>
      </x:c>
      <x:c r="E3" s="2" t="n">
        <x:v>58</x:v>
      </x:c>
    </x:row>
    <x:row r="4" ht="21" customHeight="1">
      <x:c r="A4" s="2" t="str">
        <x:v>I03</x:v>
      </x:c>
      <x:c r="B4" s="2" t="str">
        <x:v>Roasted veggie wrap</x:v>
      </x:c>
      <x:c r="C4" s="2" t="str">
        <x:v>Substitute</x:v>
      </x:c>
      <x:c r="D4" s="7" t="n">
        <x:v>7.5</x:v>
      </x:c>
      <x:c r="E4" s="2" t="n">
        <x:v>34</x:v>
      </x:c>
    </x:row>
    <x:row r="5" ht="21" customHeight="1">
      <x:c r="A5" s="2" t="str">
        <x:v>I04</x:v>
      </x:c>
      <x:c r="B5" s="2" t="str">
        <x:v>Grilled rice bowl</x:v>
      </x:c>
      <x:c r="C5" s="2" t="str">
        <x:v>Substitute</x:v>
      </x:c>
      <x:c r="D5" s="7" t="n">
        <x:v>9</x:v>
      </x:c>
      <x:c r="E5" s="2" t="n">
        <x:v>40</x:v>
      </x:c>
    </x:row>
    <x:row r="6" ht="21" customHeight="1">
      <x:c r="A6" s="2" t="str">
        <x:v>I05</x:v>
      </x:c>
      <x:c r="B6" s="2" t="str">
        <x:v>Potato wedges</x:v>
      </x:c>
      <x:c r="C6" s="2" t="str">
        <x:v>Side</x:v>
      </x:c>
      <x:c r="D6" s="7" t="n">
        <x:v>3.5</x:v>
      </x:c>
      <x:c r="E6" s="2" t="n">
        <x:v>82</x:v>
      </x:c>
    </x:row>
    <x:row r="7" ht="21" customHeight="1">
      <x:c r="A7" s="2" t="str">
        <x:v>I06</x:v>
      </x:c>
      <x:c r="B7" s="2" t="str">
        <x:v>Garden side salad</x:v>
      </x:c>
      <x:c r="C7" s="2" t="str">
        <x:v>Side</x:v>
      </x:c>
      <x:c r="D7" s="7" t="n">
        <x:v>3</x:v>
      </x:c>
      <x:c r="E7" s="2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3aa2ad37aeaf47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3" hidden="0" customWidth="1"/>
    <x:col min="3" max="3" width="16" hidden="0" customWidth="1"/>
    <x:col min="4" max="4" width="16" hidden="0" customWidth="1"/>
  </x:cols>
  <x:sheetData>
    <x:row r="1" ht="30" customHeight="1">
      <x:c r="A1" s="18" t="str">
        <x:v>Method and inputs</x:v>
      </x:c>
      <x:c r="B1" s="10"/>
      <x:c r="C1" s="2"/>
      <x:c r="D1" s="2"/>
    </x:row>
    <x:row r="2" ht="30" customHeight="1">
      <x:c r="A2" s="10" t="str">
        <x:v>Inspiration</x:v>
      </x:c>
      <x:c r="B2" s="10" t="str">
        <x:v>Team Lead experience in a quick-service restaurant during Christmas.</x:v>
      </x:c>
      <x:c r="C2" s="2"/>
      <x:c r="D2" s="2"/>
    </x:row>
    <x:row r="3" ht="30" customHeight="1">
      <x:c r="A3" s="10" t="str">
        <x:v>Data</x:v>
      </x:c>
      <x:c r="B3" s="10" t="str">
        <x:v>All numbers are synthetic. Cedar Kitchen and the menu are fictional.</x:v>
      </x:c>
      <x:c r="C3" s="2"/>
      <x:c r="D3" s="2"/>
    </x:row>
    <x:row r="4" ht="30" customHeight="1">
      <x:c r="A4" s="10" t="str">
        <x:v>Privacy</x:v>
      </x:c>
      <x:c r="B4" s="10" t="str">
        <x:v>No company/customer data, real prices, targets, locations or staff details.</x:v>
      </x:c>
      <x:c r="C4" s="2"/>
      <x:c r="D4" s="2"/>
    </x:row>
    <x:row r="5" ht="30" customHeight="1">
      <x:c r="A5" s="10" t="str">
        <x:v>Timing</x:v>
      </x:c>
      <x:c r="B5" s="10" t="str">
        <x:v>Built retrospectively for a portfolio; never used during employment.</x:v>
      </x:c>
      <x:c r="C5" s="2"/>
      <x:c r="D5" s="2"/>
    </x:row>
    <x:row r="6" ht="30" customHeight="1">
      <x:c r="A6" s="10" t="str">
        <x:v>Period</x:v>
      </x:c>
      <x:c r="B6" s="10" t="str">
        <x:v>Invented 1 Nov-31 Dec 2025; Christmas Day closed. GBP is illustrative.</x:v>
      </x:c>
      <x:c r="C6" s="2"/>
      <x:c r="D6" s="2"/>
    </x:row>
    <x:row r="7" ht="30" customHeight="1">
      <x:c r="A7" s="10" t="str">
        <x:v>Controls</x:v>
      </x:c>
      <x:c r="B7" s="10" t="str">
        <x:v>Edit the multipliers or target below; the synthetic observations stay fixed.</x:v>
      </x:c>
      <x:c r="C7" s="2"/>
      <x:c r="D7" s="2"/>
    </x:row>
    <x:row r="8" ht="30" customHeight="1">
      <x:c r="A8" s="10" t="str">
        <x:v>Normal multiplier</x:v>
      </x:c>
      <x:c r="B8" s="19" t="n">
        <x:v>1.04</x:v>
      </x:c>
      <x:c r="C8" s="2"/>
      <x:c r="D8" s="2"/>
    </x:row>
    <x:row r="9" ht="30" customHeight="1">
      <x:c r="A9" s="10" t="str">
        <x:v>Christmas multiplier</x:v>
      </x:c>
      <x:c r="B9" s="19" t="n">
        <x:v>1.2</x:v>
      </x:c>
      <x:c r="C9" s="2"/>
      <x:c r="D9" s="2"/>
    </x:row>
    <x:row r="10" ht="30" customHeight="1">
      <x:c r="A10" s="10" t="str">
        <x:v>December target GBP</x:v>
      </x:c>
      <x:c r="B10" s="13" t="n">
        <x:v>70000</x:v>
      </x:c>
      <x:c r="C10" s="2"/>
      <x:c r="D10" s="2"/>
    </x:row>
    <x:row r="11" ht="30" customHeight="1">
      <x:c r="A11" s="10" t="str">
        <x:v>Baseline</x:v>
      </x:c>
      <x:c r="B11" s="10" t="str">
        <x:v>Rounded November mean for each item and weekday; forecast origin 30 Nov.</x:v>
      </x:c>
      <x:c r="C11" s="2"/>
      <x:c r="D11" s="2"/>
    </x:row>
    <x:row r="12" ht="30" customHeight="1">
      <x:c r="A12" s="10" t="str">
        <x:v>Adjustment</x:v>
      </x:c>
      <x:c r="B12" s="10" t="str">
        <x:v>Baseline times B8 normally, B9 on 20-26 Dec; closed day forecast is zero.</x:v>
      </x:c>
      <x:c r="C12" s="2"/>
      <x:c r="D12" s="2"/>
    </x:row>
    <x:row r="13" ht="30" customHeight="1">
      <x:c r="A13" s="10" t="str">
        <x:v>Evaluation</x:v>
      </x:c>
      <x:c r="B13" s="10" t="str">
        <x:v>1-7 Dec holdout; Christmas and full December shown separately.</x:v>
      </x:c>
      <x:c r="C13" s="2"/>
      <x:c r="D13" s="2"/>
    </x:row>
    <x:row r="14" ht="30" customHeight="1">
      <x:c r="A14" s="10" t="str">
        <x:v>WAPE</x:v>
      </x:c>
      <x:c r="B14" s="10" t="str">
        <x:v>Sum absolute item-day forecast errors / sum demand on forecast-covered rows.</x:v>
      </x:c>
      <x:c r="C14" s="2"/>
      <x:c r="D14" s="2"/>
    </x:row>
    <x:row r="15" ht="30" customHeight="1">
      <x:c r="A15" s="10" t="str">
        <x:v>Bias</x:v>
      </x:c>
      <x:c r="B15" s="10" t="str">
        <x:v>Sum(forecast - demand) / sum demand; negative means under-forecasting.</x:v>
      </x:c>
      <x:c r="C15" s="2"/>
      <x:c r="D15" s="2"/>
    </x:row>
    <x:row r="16" ht="30" customHeight="1">
      <x:c r="A16" s="10" t="str">
        <x:v>Availability</x:v>
      </x:c>
      <x:c r="B16" s="10" t="str">
        <x:v>Two core items have constrained receipts on 21-24 Dec.</x:v>
      </x:c>
      <x:c r="C16" s="2"/>
      <x:c r="D16" s="2"/>
    </x:row>
    <x:row r="17" ht="30" customHeight="1">
      <x:c r="A17" s="10" t="str">
        <x:v>Substitutes</x:v>
      </x:c>
      <x:c r="B17" s="10" t="str">
        <x:v>Assumed switching, capped by spare stock; 137 requests switch, 107 unserved.</x:v>
      </x:c>
      <x:c r="C17" s="2"/>
      <x:c r="D17" s="2"/>
    </x:row>
    <x:row r="18" ht="30" customHeight="1">
      <x:c r="A18" s="10" t="str">
        <x:v>Revenue</x:v>
      </x:c>
      <x:c r="B18" s="10" t="str">
        <x:v>Substitute revenue is included in sales. Unserved value is not lost profit.</x:v>
      </x:c>
      <x:c r="C18" s="2"/>
      <x:c r="D18" s="2"/>
    </x:row>
    <x:row r="19" ht="30" customHeight="1">
      <x:c r="A19" s="10" t="str">
        <x:v>Limits</x:v>
      </x:c>
      <x:c r="B19" s="10" t="str">
        <x:v>Known demand and assumed uplifts make this a teaching case, not independent validation.</x:v>
      </x:c>
      <x:c r="C19" s="2"/>
      <x:c r="D19" s="2"/>
    </x:row>
    <x:row r="20" ht="30" customHeight="1">
      <x:c r="A20" s="10" t="str">
        <x:v>How to use</x:v>
      </x:c>
      <x:c r="B20" s="10" t="str">
        <x:v>Dashboard -&gt; Analysis formulas -&gt; Daily inputs. Filter tables for detail.</x:v>
      </x:c>
      <x:c r="C20" s="2"/>
      <x:c r="D20" s="2"/>
    </x:row>
    <x:row r="21" ht="30" customHeight="1">
      <x:c r="A21" s="10" t="str">
        <x:v>Refresh</x:v>
      </x:c>
      <x:c r="B21" s="10" t="str">
        <x:v>After edits, recalculate and export Analysis; reallocate targets if B10 changes.</x:v>
      </x:c>
      <x:c r="C21" s="2"/>
      <x:c r="D21" s="2"/>
    </x:row>
    <x:row r="22" ht="30" customHeight="1">
      <x:c r="A22" s="10" t="str">
        <x:v>Scope</x:v>
      </x:c>
      <x:c r="B22" s="10" t="str">
        <x:v>Fixed 366-row case. New dates need extended formulas; raw inventory is a snapshot.</x:v>
      </x:c>
      <x:c r="C22" s="2"/>
      <x:c r="D22" s="2"/>
    </x:row>
    <x:row r="23" ht="30" customHeight="1">
      <x:c r="A23" s="10" t="str">
        <x:v>Technical notes</x:v>
      </x:c>
      <x:c r="B23" s="10" t="str">
        <x:v>See docs/Methodology.md and docs/PowerBI_Specification.md in the GitHub folder.</x:v>
      </x:c>
      <x:c r="C23" s="2"/>
      <x:c r="D23" s="2"/>
    </x:row>
    <x:row r="24" ht="30" customHeight="1">
      <x:c r="A24" s="10" t="str">
        <x:v>Power BI status</x:v>
      </x:c>
      <x:c r="B24" s="10" t="str">
        <x:v>Design and DAX only. No completed or tested PBIX is supplied.</x:v>
      </x:c>
      <x:c r="C24" s="2"/>
      <x:c r="D24" s="2"/>
    </x:row>
    <x:row r="25" ht="34" customHeight="1">
      <x:c r="A25" s="10"/>
      <x:c r="B25" s="10"/>
      <x:c r="C25" s="2"/>
      <x:c r="D25" s="2"/>
    </x:row>
    <x:row r="26" ht="34" customHeight="1">
      <x:c r="A26" s="10"/>
      <x:c r="B26" s="10"/>
      <x:c r="C26" s="2"/>
      <x:c r="D26" s="2"/>
    </x:row>
    <x:row r="27" ht="34" customHeight="1">
      <x:c r="A27" s="10"/>
      <x:c r="B27" s="10"/>
      <x:c r="C27" s="2"/>
      <x:c r="D27" s="2"/>
    </x:row>
    <x:row r="28" ht="34" customHeight="1">
      <x:c r="A28" s="10"/>
      <x:c r="B28" s="10"/>
      <x:c r="C28" s="2"/>
      <x:c r="D28" s="2"/>
    </x:row>
    <x:row r="29" ht="21" customHeight="1">
      <x:c r="A29" s="2"/>
      <x:c r="B29" s="2"/>
      <x:c r="C29" s="2"/>
      <x:c r="D29" s="2"/>
    </x:row>
    <x:row r="30" ht="21" customHeight="1">
      <x:c r="A30" s="2"/>
      <x:c r="B30" s="2"/>
      <x:c r="C30" s="2"/>
      <x:c r="D30" s="2"/>
    </x:row>
    <x:row r="31" ht="21" customHeight="1">
      <x:c r="A31" s="2"/>
      <x:c r="B31" s="2"/>
      <x:c r="C31" s="2"/>
      <x:c r="D31" s="2"/>
    </x:row>
    <x:row r="32" ht="21" customHeight="1">
      <x:c r="A32" s="2"/>
      <x:c r="B32" s="2"/>
      <x:c r="C32" s="2"/>
      <x:c r="D32" s="2"/>
    </x:row>
    <x:row r="33" ht="21" customHeight="1">
      <x:c r="A33" s="2"/>
      <x:c r="B33" s="2"/>
      <x:c r="C33" s="2"/>
      <x:c r="D33" s="2"/>
    </x:row>
    <x:row r="34" ht="21" customHeight="1">
      <x:c r="A34" s="2"/>
      <x:c r="B34" s="2"/>
      <x:c r="C34" s="2"/>
      <x:c r="D34" s="2"/>
    </x:row>
    <x:row r="35" ht="21" customHeight="1">
      <x:c r="A35" s="2"/>
      <x:c r="B35" s="2"/>
      <x:c r="C35" s="2"/>
      <x:c r="D35" s="2"/>
    </x:row>
  </x:sheetData>
  <x:dataValidations count="1">
    <x:dataValidation type="decimal" operator="between" sqref="B8:B9">
      <x:formula1>0</x:formula1>
      <x:formula2>3</x:formula2>
    </x:dataValidation>
  </x:dataValidations>
  <x:pageMargins left="0.7" right="0.7" top="0.75" bottom="0.75" header="0.3" footer="0.3"/>
</x:worksheet>
</file>